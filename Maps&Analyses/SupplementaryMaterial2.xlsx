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autoCompressPictures="0"/>
  <mc:AlternateContent xmlns:mc="http://schemas.openxmlformats.org/markup-compatibility/2006">
    <mc:Choice Requires="x15">
      <x15ac:absPath xmlns:x15ac="http://schemas.microsoft.com/office/spreadsheetml/2010/11/ac" url="C:\Users\FacundoScordo\Box\Wildfire &amp; Health\Paper\PNAS-Nexus\"/>
    </mc:Choice>
  </mc:AlternateContent>
  <xr:revisionPtr revIDLastSave="0" documentId="13_ncr:1_{B6533EA3-911E-4E5C-801D-B66D6ABED5CD}" xr6:coauthVersionLast="47" xr6:coauthVersionMax="47" xr10:uidLastSave="{00000000-0000-0000-0000-000000000000}"/>
  <bookViews>
    <workbookView xWindow="-110" yWindow="-110" windowWidth="38620" windowHeight="21100" xr2:uid="{00000000-000D-0000-FFFF-FFFF00000000}"/>
  </bookViews>
  <sheets>
    <sheet name="All green selection" sheetId="4"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95" i="4" l="1"/>
  <c r="AO195" i="4"/>
  <c r="AN195" i="4"/>
  <c r="AM195" i="4"/>
  <c r="AL195" i="4"/>
  <c r="AK195" i="4"/>
  <c r="AJ195" i="4"/>
  <c r="AI195" i="4"/>
  <c r="AH195" i="4"/>
  <c r="AG195" i="4"/>
  <c r="AF195" i="4"/>
  <c r="AE195" i="4"/>
  <c r="AD195" i="4"/>
  <c r="AC195" i="4"/>
  <c r="AB195" i="4"/>
  <c r="AA195" i="4"/>
  <c r="Y195" i="4"/>
  <c r="Z195" i="4"/>
  <c r="X195" i="4"/>
  <c r="W195" i="4"/>
  <c r="V195" i="4"/>
  <c r="U195" i="4"/>
  <c r="T195" i="4"/>
  <c r="S195" i="4"/>
  <c r="R195" i="4"/>
  <c r="Q195" i="4"/>
  <c r="P195" i="4"/>
  <c r="O195" i="4"/>
  <c r="L195" i="4"/>
  <c r="K195" i="4"/>
  <c r="J195" i="4"/>
  <c r="J191" i="4"/>
  <c r="AQ189" i="4"/>
  <c r="AL189" i="4"/>
  <c r="U189" i="4"/>
  <c r="M189" i="4"/>
  <c r="J189" i="4"/>
  <c r="M197" i="4"/>
  <c r="N197" i="4"/>
  <c r="K197" i="4"/>
  <c r="J197" i="4"/>
  <c r="G20" i="4"/>
  <c r="G5" i="4"/>
  <c r="AB189" i="4"/>
  <c r="G184" i="4"/>
  <c r="G183" i="4"/>
  <c r="G182" i="4"/>
  <c r="G181" i="4"/>
  <c r="G180" i="4"/>
  <c r="G179" i="4"/>
  <c r="G178" i="4"/>
  <c r="G177" i="4"/>
  <c r="G176" i="4"/>
  <c r="G175" i="4"/>
  <c r="G174" i="4"/>
  <c r="G173" i="4"/>
  <c r="G172" i="4"/>
  <c r="G171" i="4"/>
  <c r="AO197" i="4"/>
  <c r="AJ197" i="4"/>
  <c r="W197" i="4"/>
  <c r="S197" i="4"/>
  <c r="O197" i="4"/>
  <c r="L197" i="4"/>
  <c r="L189" i="4"/>
  <c r="AP189" i="4"/>
  <c r="AO189" i="4"/>
  <c r="AN189" i="4"/>
  <c r="AM189" i="4"/>
  <c r="AK189" i="4"/>
  <c r="AJ189" i="4"/>
  <c r="AI189" i="4"/>
  <c r="AH189" i="4"/>
  <c r="AG189" i="4"/>
  <c r="AF189" i="4"/>
  <c r="AE189" i="4"/>
  <c r="AD189" i="4"/>
  <c r="AC189" i="4"/>
  <c r="AA189" i="4"/>
  <c r="Z189" i="4"/>
  <c r="Y189" i="4"/>
  <c r="X189" i="4"/>
  <c r="W189" i="4"/>
  <c r="V189" i="4"/>
  <c r="T189" i="4"/>
  <c r="S189" i="4"/>
  <c r="R189" i="4"/>
  <c r="P189" i="4"/>
  <c r="Q189" i="4"/>
  <c r="O189" i="4"/>
  <c r="N189" i="4"/>
  <c r="K189" i="4"/>
  <c r="AR197" i="4"/>
  <c r="AQ197" i="4"/>
  <c r="AP197" i="4"/>
  <c r="AN197" i="4"/>
  <c r="AM197" i="4"/>
  <c r="AL197" i="4"/>
  <c r="AK197" i="4"/>
  <c r="AI197" i="4"/>
  <c r="AH197" i="4"/>
  <c r="AG197" i="4"/>
  <c r="AF197" i="4"/>
  <c r="AE197" i="4"/>
  <c r="AD197" i="4"/>
  <c r="AC197" i="4"/>
  <c r="AB197" i="4"/>
  <c r="AA197" i="4"/>
  <c r="Z197" i="4"/>
  <c r="Y197" i="4"/>
  <c r="X197" i="4"/>
  <c r="V197" i="4"/>
  <c r="U197" i="4"/>
  <c r="T197" i="4"/>
  <c r="R197" i="4"/>
  <c r="Q197" i="4"/>
  <c r="P197" i="4"/>
  <c r="G43" i="4"/>
  <c r="G42" i="4"/>
  <c r="G41" i="4"/>
  <c r="K191" i="4"/>
  <c r="AV197" i="4"/>
  <c r="AS197" i="4"/>
  <c r="AQ191" i="4"/>
  <c r="AP191" i="4"/>
  <c r="AO191" i="4"/>
  <c r="AN191" i="4"/>
  <c r="AM191" i="4"/>
  <c r="AL191" i="4"/>
  <c r="AK191" i="4"/>
  <c r="AJ191" i="4"/>
  <c r="AI191" i="4"/>
  <c r="AH191" i="4"/>
  <c r="AG191" i="4"/>
  <c r="AF191" i="4"/>
  <c r="AE191" i="4"/>
  <c r="AD191" i="4"/>
  <c r="AC191" i="4"/>
  <c r="AB191" i="4"/>
  <c r="AA191" i="4"/>
  <c r="Z191" i="4"/>
  <c r="Y191" i="4"/>
  <c r="X191" i="4"/>
  <c r="W191" i="4"/>
  <c r="V191" i="4"/>
  <c r="U191" i="4"/>
  <c r="T191" i="4"/>
  <c r="S191" i="4"/>
  <c r="R191" i="4"/>
  <c r="Q191" i="4"/>
  <c r="P191" i="4"/>
  <c r="O191" i="4"/>
  <c r="N191" i="4"/>
  <c r="M191" i="4"/>
  <c r="L191" i="4"/>
  <c r="G29" i="4"/>
  <c r="G4" i="4"/>
</calcChain>
</file>

<file path=xl/sharedStrings.xml><?xml version="1.0" encoding="utf-8"?>
<sst xmlns="http://schemas.openxmlformats.org/spreadsheetml/2006/main" count="2831" uniqueCount="1221">
  <si>
    <t>Wildfire</t>
  </si>
  <si>
    <t xml:space="preserve">Urban </t>
  </si>
  <si>
    <t>Short-term (&lt;1 month)</t>
  </si>
  <si>
    <t>Long-term (≥ 1 month)</t>
  </si>
  <si>
    <t>PM2.5</t>
  </si>
  <si>
    <t>PM10</t>
  </si>
  <si>
    <t>Other</t>
  </si>
  <si>
    <t>Organic</t>
  </si>
  <si>
    <t>Trace elements</t>
  </si>
  <si>
    <t>Inorganic</t>
  </si>
  <si>
    <t>Cardiovascular</t>
  </si>
  <si>
    <t>Digestive</t>
  </si>
  <si>
    <t>Endocrine</t>
  </si>
  <si>
    <t>Integumentary</t>
  </si>
  <si>
    <t>Lymphatic</t>
  </si>
  <si>
    <t>Muscular</t>
  </si>
  <si>
    <t>Nervous</t>
  </si>
  <si>
    <t>Reproductive</t>
  </si>
  <si>
    <t>Respiratory</t>
  </si>
  <si>
    <t>Skeletal</t>
  </si>
  <si>
    <t xml:space="preserve">Urinary </t>
  </si>
  <si>
    <t>Entire Body</t>
  </si>
  <si>
    <t>Pediatric</t>
  </si>
  <si>
    <t>Adult</t>
  </si>
  <si>
    <t>Geriatric</t>
  </si>
  <si>
    <t>Highly-exposed occupation</t>
  </si>
  <si>
    <t>Emotional</t>
  </si>
  <si>
    <t xml:space="preserve">Physical </t>
  </si>
  <si>
    <t>Yes</t>
  </si>
  <si>
    <t>No</t>
  </si>
  <si>
    <t>Water</t>
  </si>
  <si>
    <t>Land</t>
  </si>
  <si>
    <t>Air</t>
  </si>
  <si>
    <t>Authors</t>
  </si>
  <si>
    <t>Article Title</t>
  </si>
  <si>
    <t>Source Title</t>
  </si>
  <si>
    <t>Author Keywords</t>
  </si>
  <si>
    <t>Keywords Plus</t>
  </si>
  <si>
    <t>Publication Year</t>
  </si>
  <si>
    <t>DOI Link</t>
  </si>
  <si>
    <t>WoS Categories</t>
  </si>
  <si>
    <t>Abstract</t>
  </si>
  <si>
    <t>Fire Type</t>
  </si>
  <si>
    <t>Fire Exposure</t>
  </si>
  <si>
    <t>Particle Size</t>
  </si>
  <si>
    <t>Particle Classification</t>
  </si>
  <si>
    <t xml:space="preserve">Organ System </t>
  </si>
  <si>
    <t>Study Population</t>
  </si>
  <si>
    <t xml:space="preserve">Dimensions of Health </t>
  </si>
  <si>
    <t>Human Health Impacts</t>
  </si>
  <si>
    <t>Environmental Impact (Non-human health)</t>
  </si>
  <si>
    <t>Bazina, L; Deloid, G; Fritzky, L; Lizonova, D; Vaze, N; Demokritou, P</t>
  </si>
  <si>
    <t>Impact of Canadian Wildfire-Emitted Particulate Matter on THP-1 Lung Macrophage Health and Function</t>
  </si>
  <si>
    <t>ENVIRONMENTAL SCIENCE &amp; TECHNOLOGY</t>
  </si>
  <si>
    <t>Canadian wildfires; wildfire particulate matter; THP-1 macrophages; climate change</t>
  </si>
  <si>
    <t>POLYCYCLIC AROMATIC-HYDROCARBONS; EMERGENCY-DEPARTMENT VISITS; MULTIPLE-PATH MODEL; PARTICLE DEPOSITION; OXIDATIVE STRESS; CASCADE IMPACTOR; SMOKE; MORTALITY; EXPOSURE; DOSIMETRY</t>
  </si>
  <si>
    <t>=HYPERLINK("http://dx.doi.org/10.1021/acs.est.4c10304","http://dx.doi.org/10.1021/acs.est.4c10304")</t>
  </si>
  <si>
    <t>Engineering, Environmental; Environmental Sciences</t>
  </si>
  <si>
    <t>Increasing frequency and intensity of climate-driven wildfires in recent years have resulted in increased human exposures to wildfire smoke and raised serious public health concerns. One potential risk of wildfire smoke exposure is the impairment that it may cause to lung macrophages, which serve as the first line of defense against inhaled pathogens and particles. Size-fractionated wildfire particulate matter (WFPM) collected in the New Jersey/New York metropolitan area during the June 2023 Canadian wildfire event was used to assess the effect on the health and function of THP-1 lung macrophages. Environmentally relevant in vitro WFPM doses were determined using established in vivo and in vitro dosimetry models. Exposure to WFPM0.1-2.5 (0.1-2.5 mu m) for 24 h caused a significant (similar to 15%) increase in reactive oxygen species, indicating oxidative stress. More importantly, exposure to either WFPM0.1 (&lt;= 0.1 mu m) or WFPM0.1-2.5 significantly reduced THP-1 lung macrophage viability. Additionally, 24 h exposure to either of the WFPM fractions reduced phagocytosis of unopsonized 1 mu m polystyrene beads by approximately 50%, which appeared to be due to a defect in binding, which could in turn be a result of scavenger receptor blockade by WFPM or diminished viability and thus ATP depletion, depriving the macrophages of energy required to perform phagocytosis. Together, these findings suggest that WFPM exposure could impair lung macrophage health and function, which could increase susceptibility to respiratory infections. Further mechanistic in vitro and in vivo studies are warranted to better understand the impacts of WFPM on lung innate immunity and the risk of pulmonary infection.</t>
  </si>
  <si>
    <t>NA</t>
  </si>
  <si>
    <t>Alexeeff, SE; van den Eeden, SK; Deosaransingh, K; Sidney, S; Liao, NS; Rana, JS</t>
  </si>
  <si>
    <t>Wildfire Air Pollution and Rates of Cardiovascular Events and Mortality in Northern California in 2018</t>
  </si>
  <si>
    <t>JOURNAL OF THE AMERICAN HEART ASSOCIATION</t>
  </si>
  <si>
    <t>myocardial infarction; particulate matter; wildfire; wildfire smoke; wildland fire</t>
  </si>
  <si>
    <t>WILDLAND FIRE SMOKE; TIME-SERIES; TERM EXPOSURE; IMPACTS; PM2.5; RISK</t>
  </si>
  <si>
    <t>Cardiac &amp; Cardiovascular Systems</t>
  </si>
  <si>
    <t>Background We examined the association between acute cardiovascular disease (CVD) events and wildfire air pollution in California in 2018. Methods The study included adult (&gt;= 18 years) members of Kaiser Permanente Northern California, an integrated health care system. Outcomes included CVD events (hospitalizations for acute myocardial infarction, heart failure, or stroke, and CVD death) and death from any cause. Fine particulate air pollution (particulate matter &lt;2.5 microns in diameter; PM2.5) exposure was assessed in categories (Good &lt;12 mu g/m3, Moderate 12-34 mu g/m3, High &gt;= 35 mu g/m3) and continuously. Poisson time series regression was used to model daily event rates during July 1 to December 31, 2018, using a spline to adjust for long-term time trends. We calculated rate ratios (RR) to estimate the association between wildfire air pollution and daily rate of CVD events and deaths. Results Our study included 3.2 million adults with a total follow-up of 587.9 million person-days. High PM2.5 concentrations during the Mendocino Complex wildfire in July to August was associated with an increased rate of CVD events (RR, 1.231 [95% CI, 1.039-1.458]) and death (RR, 1.358 [95% CI, 1.128-1.635]) compared with Good PM2.5 concentrations. In contrast, there was no evidence of increased risk during the Camp wildfire in November (RR for CVD events, 0.966 [95% CI, 0.894-1.044]; RR for all-cause mortality, 0.985 [95% CI, 0.904-1.074] High versus Good PM2.5 concentrations). Conclusions There was some evidence of increased rates of CVD events and death during wildfires, but results were inconsistent. With ongoing climate change, large wildfires are a pressing public health concern and future work is needed to understand differences in health outcomes by wildfire.</t>
  </si>
  <si>
    <t>Wah, W; Gelaw, A; Glass, DC; Sim, MR; Hoy, RF; Berecki-Gisolf, J; Walker-Bone, K</t>
  </si>
  <si>
    <t>Systematic review of impacts of occupational exposure to wildfire smoke on respiratory function, symptoms, measures and diseases</t>
  </si>
  <si>
    <t>INTERNATIONAL JOURNAL OF HYGIENE AND ENVIRONMENTAL HEALTH</t>
  </si>
  <si>
    <t>Systematic review; Wildfire; Bushfire; Occupational exposure; Respiratory; Firefighters</t>
  </si>
  <si>
    <t>WILDLAND FIRE SMOKE; PULMONARY-FUNCTION; PARTICULATE MATTER; LUNG-FUNCTION; FIREFIGHTERS; AIRWAY; RESPONSES; HEALTH; WORKING</t>
  </si>
  <si>
    <t>Public, Environmental &amp; Occupational Health; Infectious Diseases</t>
  </si>
  <si>
    <t>Background: Wildfire smoke contains numerous hazardous air pollutants which pose serious health risks to humans. Despite this, there has been a limited focus on the assessment of the acute physiological and longer-term respiratory effects of wildfire exposure on firefighters and other emergency workers. Therefore, we undertook a systematic review of the evidence about the respiratory impacts of occupational wildfire smoke exposure among wildfire fighters (WFF). Methods: Eligible studies from Medline, Embase and Scopus databases were included if they described the relationship between wildfire exposure and respiratory function, symptoms, measures and diseases amongst emergency personnel or firefighters who had responded to wildfires. Results: Twenty-six articles met the inclusion criteria. 24 out of 26 (22 out of 23 moderate/high quality) studies provided evidence of adverse respiratory effects, including reduced lung function, increased airway dysfunction and airway inflammation, upper and lower respiratory tract symptoms and increased asthma incidence related to wildfires or prescribed burns exposure among WFF and police responders. Fourteen out of 19 studies showed statistically significant declines in spirometry measures of lung function (mostly short-term studies). Two studies using complex lung function tests showed a significant effect on peripheral airway function. Discussion: This review found a convincing body of evidence that occupational exposure to wildfires or prescribed burns has both acute and possibly longer-term respiratory effects among WFFs and some other emergency personnel. Given that these events are increasing, more needs to be done to identify those most at risk and mitigate these risks.</t>
  </si>
  <si>
    <t>BMC PUBLIC HEALTH</t>
  </si>
  <si>
    <t>Public, Environmental &amp; Occupational Health</t>
  </si>
  <si>
    <t>Do, V; Mcbrien, H; Teigen, K; Childs, ML; Kioumourtzoglou, MA; Casey, JA</t>
  </si>
  <si>
    <t>A National Study on the Impact of Wildfire Smoke on Cause-Specific Hospitalizations Among Medicare Enrollees with Alzheimer's Disease and Related Dementias from 2006 to 2016</t>
  </si>
  <si>
    <t>FIRE-SWITZERLAND</t>
  </si>
  <si>
    <t>wildfire; wildfire smoke; older adults; ADRD</t>
  </si>
  <si>
    <t>CASE-CROSSOVER; CHEMICAL-COMPOSITION; PARTICULATE MATTER; HEALTH IMPACTS; WESTERN US; ASSOCIATION; EXPOSURE; RISK; PERSPECTIVE; DEPRESSION</t>
  </si>
  <si>
    <t>=R[-2]C[2]HYPERLINK("http://dx.doi.org/10.3390/fire8030097","http://dx.doi.org/10.3390/fire8030097")</t>
  </si>
  <si>
    <t>Ecology; Forestry</t>
  </si>
  <si>
    <t>Older adults may experience worse wildfire fine particulate matter (PM2.5) smoke-related health effects due to conditions such as Alzheimer's disease and related dementias (ADRDs). We evaluated whether wildfire PM2.5 was associated with acute hospitalizations among older adults with ADRD, linking modeled daily wildfire PM2.5 concentrations and circulatory, respiratory, anxiety, and depression hospitalizations from 2006 to 2016. We employed a case-crossover design and conditional logistic regression to estimate associations between lagged daily wildfire PM2.5 and hospitalizations. Also, we stratified cause-specific models by age, sex, emergency hospitalization status, and zip code-level urbanicity and poverty. The 1,546,753 hospitalizations among Medicare enrollees with ADRD were most coded for circulatory (71.7%), followed by respiratory (43.6%), depression (2.9%), and anxiety (0.7%) endpoints. We observed null associations between wildfire PM2.5 and circulatory, respiratory, and anxiety hospitalizations over the six days following exposure. Same-day wildfire PM2.5 was associated with decreased depression hospitalizations (rate ratio = 0.94, 95% CI: 0.90, 0.99). We saw some effect measure modifications by emergency hospitalization status and urbanicity. There were some stratum-specific effects for age, but the results remained mostly null. Future studies should use improved methods to identify ADRD and examine recent years with higher wildfire concentrations.</t>
  </si>
  <si>
    <t>Wu, Y; Xu, RB; Li, SS; Wen, B; Southey, MC; Dugue, PA; Hopper, JL; Abramson, MJ; Li, S; Guo, YM</t>
  </si>
  <si>
    <t>Association between wildfire-related PM2.5 and epigenetic aging: A twin and family study in Australia</t>
  </si>
  <si>
    <t>JOURNAL OF HAZARDOUS MATERIALS</t>
  </si>
  <si>
    <t>Wildfire; Fine particulate matter; Epigenetic age</t>
  </si>
  <si>
    <t>DNA METHYLATION; HOSPITAL ADMISSIONS; AIR-POLLUTION; PARTICULATE MATTER; SMOKE; MORTALITY; EXPOSURE; HEALTH; TIME; CONSEQUENCES</t>
  </si>
  <si>
    <t>=R[4]C[2]HYPERLINK("http://dx.doi.org/10.1016/j.jhazmat.2024.136486","http://dx.doi.org/10.1016/j.jhazmat.2024.136486")</t>
  </si>
  <si>
    <t>Wildfire-related PM 2.5 has been associated with various adverse health outcomes, but its association with epigenetic aging remains unclear. This study examined the association between wildfire-related PM 2.5 exposure and epigenetic aging using DNA methylation data from a twin and family study. With a within-sibship analysis, we found that each 1 mu g/m3 increase in annual wildfire-related PM 2.5 was associated with a 0.25-year (95 % CI: 0.04, 0.47) increase in GrimAge1 acceleration and a 0.36-year (95 % CI: 0.12, 0.59) increase in GrimAge2 acceleration. Subgroup analyses found that participants aged &gt;= 60 years, those with a history of current or former smoking and alcohol consumption, and those living in rural regions exhibited more pronounced epigenetic age acceleration. These findings suggest that wildfire smoke could accelerate biological aging, particularly in vulnerable populations, posing a significant challenge to healthy aging.</t>
  </si>
  <si>
    <t>Gardin, TN; Requia, WJ</t>
  </si>
  <si>
    <t>The effect of wildfire smoke exposure on student performance: A nationwide study across two decades (2000-2020) and over 40 million students in Brazil</t>
  </si>
  <si>
    <t>NEUROTOXICOLOGY</t>
  </si>
  <si>
    <t>Air pollution; Wildfire; Students; Academic performance</t>
  </si>
  <si>
    <t>SOUTHERN CALIFORNIA WILDFIRES; PARTICULATE MATTER; AIR-POLLUTION; HEALTH; STRESS; SCHOOLS; US</t>
  </si>
  <si>
    <t>=R[4]C[6]HYPERLINK("http://dx.doi.org/10.1016/j.neuro.2025.03.005","http://dx.doi.org/10.1016/j.neuro.2025.03.005")</t>
  </si>
  <si>
    <t>Neurosciences; Pharmacology &amp; Pharmacy; Toxicology</t>
  </si>
  <si>
    <t>The impact of wildfire smoke exposure on public health has been extensively studied, yet its potential consequences on academic performance remain relatively unexplored, particularly in the context of fire-prone regions, such as Brazil. We conducted a nationwide study of more than 40 million high school students in Brazil who took the National High School Exam (ENEM) between 2000 and 2020. We used mixed-effects regression models with state-specific random intercepts to examine the associations between the wildfire events and academic performance among Brazilian students. We accounted for multiple covariates, including socioeconomic status, spatiotemporal factors, air pollutants, and weather variables. We also explored the effect modification by exam subject (general subjects and essay), school management (private and public schools), location (urban and rural schools), and time period. Our findings suggest that increased wildfire events are associated with lower academic performance in both essay and general subjects. After adjustments for the covariates, the primary analysis results indicate a negative impact of wildfires on essay writing, with an estimated coefficient of -0.09 (95 % CI: -0.13; -0.05) with 100 wildfire records increase. Similarly, an increase of 100 wildfire records per year corresponded to a decrease of 0.10 (95 % CI: 0.06; 0.11) points for general subjects. This effect on academic performance was associated with a reduction of 0.33 % (95 %CI: 0.31 %; 0.34 %) in essay and 0.54 % (95 %CI: 0.52 %; 0.56 %) in general subjects. Our findings highlight the need for further attention to the influence of wildfire smoke exposure on student academic performance, suggesting that even small associations at the individual level could have broader implications for public health and education policies.</t>
  </si>
  <si>
    <t>Vicente, ED; Figueiredo, D; Gonsalves, C; Kováts, N; Hubai, K; Sainnokhoi, TA; Vicente, A; Oliveira, H; Lopes, I; Alves, C</t>
  </si>
  <si>
    <t>Toxicological screening of PM2.5 from wildfires involving different biomass fuels</t>
  </si>
  <si>
    <t>ENVIRONMENTAL POLLUTION</t>
  </si>
  <si>
    <t>Wildfires; PM2.5; Ecotoxicity; Mutagenicity; Cytotoxicity; Modified combustion efficiency</t>
  </si>
  <si>
    <t>FINE PARTICULATE MATTER; CHEMICAL-COMPOSITION; OXIDATIVE STRESS; CENTRAL PORTUGAL; AIR-QUALITY; TOXICITY; AEROSOLS; IMPACTS; AMBIENT; EMISSIONS</t>
  </si>
  <si>
    <t>=R[-2]C[2]HYPERLINK("http://dx.doi.org/10.1016/j.envpol.2025.125887","http://dx.doi.org/10.1016/j.envpol.2025.125887")</t>
  </si>
  <si>
    <t>Environmental Sciences</t>
  </si>
  <si>
    <t>Wildfires are becoming increasingly frequent and severe, particularly in Southern Europe. In addition to their immediate environmental and socioeconomic impacts, wildfires release significant amounts of particulate matter (PM), which poses serious health and ecological risks. Gaseous (CO and CO2) and PM2.5 samples were collected directly from smoke plumes, and the modified combustion efficiency (MCE) was calculated to characterise combustion conditions. This study aims to assess the cytotoxicity, mutagenicity and ecotoxicity of PM2.5 collected during wildfires in Portugal, with a focus on how varying biomass types and combustion conditions impact these effects. Ecotoxicity assessments using Aliivibrio fischeri showed that PM2.5 samples ranged from toxic to extremely toxic, with mixed vegetation burns (eucalyptus, acacia, ferns) exhibiting the highest toxicity levels. Cytotoxicity tests on human lung epithelial cells (A549) demonstrated a dose-dependent decrease in metabolic activity and no membrane damage, while mutagenicity assays identified direct-acting mutagens from smouldering acacia debris combustion, specifically inducing frameshift mutations in Salmonella typhimurium strain TA98. Root growth inhibition tests showed no toxicity, with some samples, instead, promoting growth probably due to nutrient content. Peroxidase activity responses indicated that, at higher concentrations, the enzyme function could be reduced if defence mechanisms are overwhelmed or stimulated due to high nutrient levels. These findings highlight the complex and varying toxicological profiles of wildfire PM, emphasising the need for further research.</t>
  </si>
  <si>
    <t>Kiessling, P; Meister, K; Sidell, D; O'Bryan, M; Erickson-DiRenzo, E; Balakrishnan, K</t>
  </si>
  <si>
    <t>Analysis of Pediatric Acute Upper Airway Pathology During Local Wildfires and Increased PM 2.5 Burden</t>
  </si>
  <si>
    <t>OTOLARYNGOLOGY-HEAD AND NECK SURGERY</t>
  </si>
  <si>
    <t>air quality index; AQI; croup; fine particulate matter; pediatric aerodigestive tract; pediatric larynx; pediatric otolaryngology; pediatric upper airway; pediatric upper respiratory tract; PM 2.5; poor air quality; wildfires</t>
  </si>
  <si>
    <t>CALIFORNIA WILDFIRES; HEALTH; SMOKE; POLLUTION; IMPACTS; VISITS</t>
  </si>
  <si>
    <t>=RC[12]1HYPERLINK("http://dx.doi.org/10.1002/ohn.1191","http://dx.doi.org/10.1002/ohn.1191")</t>
  </si>
  <si>
    <t>Otorhinolaryngology; Surgery</t>
  </si>
  <si>
    <t>Objective. As wildfires worldwide increase in severity and frequency, fine particulate matter (PM 2.5), generated as a component of wildfire smoke, increasingly impacts air quality. Children are particularly vulnerable to poor air quality in numerous ways, including inhalation of more air in proportion to their body size than adults. Though its adverse impacts on the lower airway are well demonstrated, the clinical effects of PM 2.5 on the pediatric upper airway are poorly understood and warrant investigation. Study Design. Retrospective cohort study. Setting. Tertiary academic medical center. Methods. From 2014 to 2023, patient presentations to a pediatric emergency department in Northern California during exposure periods of elevated PM 2.5 burden associated with nearby wildfires were identified. Patient diagnoses, presenting symptoms, and management were analyzed. Comparison group patients were evaluated during date-matched control periods with confirmed normal air quality. Chi-squared analyses determined significance. Results. During periods of increased wildfire-generated PM 2.5 burden, a significantly greater proportion of pediatric patients presented to the emergency department with upper airway pathology compared to matched control periods of healthy air quality. Further, a significantly greater proportion of patients were diagnosed with croup during wildfires. Of patients presenting with upper airway pathology, a significantly greater proportion experienced dysphonia during wildfires and had a negative strep test. Conclusion. Wildfire-generated PM 2.5 may contribute to increased rates of croup presentations, and PM 2.5 may disproportionately affect the larynx in the pediatric upper airway. Larger population-based studies and preclinical models may clarify these clinical manifestations of a growing public health threat.</t>
  </si>
  <si>
    <t>?</t>
  </si>
  <si>
    <t>ATMOSPHERIC ENVIRONMENT</t>
  </si>
  <si>
    <t>Environmental Sciences; Meteorology &amp; Atmospheric Sciences</t>
  </si>
  <si>
    <t>Vitucci, ECM; Carberry, CK; Payton, A; Herring, LE; Mordant, AL; Kim, YH; Gilmour, MI; Mccullough, SD; Rager, JE</t>
  </si>
  <si>
    <t>Wildfire-relevant woodsmoke and extracellular vesicles (EVs): Alterations in EV proteomic signatures involved in extracellular matrix degradation and tissue injury in airway organotypic models</t>
  </si>
  <si>
    <t>ENVIRONMENTAL RESEARCH</t>
  </si>
  <si>
    <t>Extracellular vesicles; In vitro; Mixtures; Organotypic models; Proteomics; Wildfire</t>
  </si>
  <si>
    <t>DIFFERENTIAL EXPRESSION; CELLS; SMOKE; PARTICLES; TOXICITY; EXPOSURE; FIRE; METALLOPROTEINASES; GLYPICAN-1; DEPOSITION</t>
  </si>
  <si>
    <t>=R[-13]C[2]HYPERLINK("http://dx.doi.org/10.1016/j.envres.2024.120395","http://dx.doi.org/10.1016/j.envres.2024.120395")</t>
  </si>
  <si>
    <t>Environmental Sciences; Public, Environmental &amp; Occupational Health</t>
  </si>
  <si>
    <t>Wildfires adversely impact air quality and public health worldwide. Exposures to wildfire smoke are linked to adverse health outcomes, including cardiopulmonary diseases. Critical research gaps remain surrounding the underlying biological pathways leading to wildfire-induced health effects. The regulation of intercellular communication and downstream toxicity driven by extracellular vesicles (EVs) is an important, understudied biological mechanism. This study investigated EVs following a wildfire smoke-relevant in vitro exposure. We hypothesized that woodsmoke (WS) would alter the proteomic content of EVs secreted in organotypic in vitro airway models. Exposures were carried out using a tri-culture model of alveolar epithelial cells, fibroblasts, and endothelial cells and a simplified co-culture model of alveolar epithelial cells and fibroblasts to inform responses across different cell populations. Epithelial cells were exposed to WS condensate and EVs were isolated from basolateral conditioned medium following 24 h exposure. WS exposure did not influence EV particle characteristics, and it moderately increased EV count. Exposure caused the differential loading of 25 and 35 proteins within EVs collected from the tri- and co-culture model, respectively. EV proteins involved in extracellular matrix degradation and wound healing were consistently modulated across both models. However, distinct proteins involved in the wound healing pathway were altered between models, suggesting unique but concerted efforts across cell types to communicate in response to injury. These findings demonstrate that a wildfire-relevant exposure alters the EV proteome and suggest an impact on EV-mediated intercellular communication. Overall, results demonstrate the viability of organotypic approaches in evaluating EVs to investigate exposure-induced biomarkers and underlying mechanisms. Findings also highlight the impact of differences in the biological complexity of in vitro models used to evaluate the effects of inhaled toxicants.</t>
  </si>
  <si>
    <t>Clinical Neurology</t>
  </si>
  <si>
    <t>Xu, JS; Ganji, A; Saeedi, M; Jeong, CH; Su, YS; Munoz, T; Lloyd, M; Weichenthal, S; Evans, G; Hatzopoulou, M</t>
  </si>
  <si>
    <t>Unveiling the Impact of Wildfires on Nanoparticle Characteristics and Exposure Disparities through Mobile and Fixed-Site Monitoring in Toronto, Canada</t>
  </si>
  <si>
    <t>ultrafine particles; lung deposited surface area (LDSA); wildfire smoke plumes; mobile monitoring; urbanscanner; recent immigrants; marginalized communities; environmental justice</t>
  </si>
  <si>
    <t>DEPOSITED SURFACE-AREA; AEROSOL-SIZE DISTRIBUTIONS; HAZARDOUS AIR-POLLUTANTS; ULTRAFINE PARTICLES; METROPOLITAN-AREA; DAILY MORTALITY; BLACK CARBON; URBAN; SMOKE; COAGULATION</t>
  </si>
  <si>
    <t>=R[-4]C[2]HYPERLINK("http://dx.doi.org/10.1021/acs.est.4c08675","http://dx.doi.org/10.1021/acs.est.4c08675")</t>
  </si>
  <si>
    <t>This study investigates the impacts of wildfires on nanoparticle characteristics and exposure disparities in Toronto, integrating data from a large-scale mobile monitoring campaign and fixed-site measurements during the unprecedented 2023 wildfire season. Our results reveal changes in particle characteristics during wildfire days, with particle number concentrations decreasing by 60% and particle diameter increasing by 30% compared to nonwildfire days. Moreover, the median lung deposited surface area (LDSA) levels rose by 31% during wildfire events. We employed gradient boosting models to estimate near-road LDSA levels on both wildfire and nonwildfire days. The LDSA ratio (wildfire/nonwildfire) exceeded 2.0 in certain areas along highways and in downtown Toronto. Furthermore, our findings show that marginalized communities faced greater LDSA increases than less marginalized ones. Under wildfire conditions, the LDSA ratio difference between the most and least marginalized groups was 16% for recent immigrants and visible minorities and 7% for seniors and children, both statistically significant. This study delivers critical insights into the spatiotemporal variations of nanoparticle characteristics during wildfire and nonwildfire periods, demonstrating the substantial health risks posed by increased LDSA levels and the inequitable distribution of these risks among Toronto's diverse population.</t>
  </si>
  <si>
    <t>ATMOSPHERE</t>
  </si>
  <si>
    <t>Geosciences, Multidisciplinary; Meteorology &amp; Atmospheric Sciences; Water Resources</t>
  </si>
  <si>
    <t>FRONTIERS IN PUBLIC HEALTH</t>
  </si>
  <si>
    <t>Letellier, N; Hale, M; Salim, KU; Ma, YQ; Rerolle, F; Schwarz, L; Benmarhnia, T</t>
  </si>
  <si>
    <t>Applying a two-stage generalized synthetic control approach to quantify the heterogeneous health effects of extreme weather events: A 2018 large wildfire in California event as a case study</t>
  </si>
  <si>
    <t>ENVIRONMENTAL EPIDEMIOLOGY</t>
  </si>
  <si>
    <t>Quasi-experimental method; Heterogeneous effect; Environmental justice; Climate hazards; Air pollution</t>
  </si>
  <si>
    <t>HOSPITAL ADMISSIONS; PARTICULATE MATTER; AIR-POLLUTION; SMOKE; EXPOSURE; IMPACT; RISK</t>
  </si>
  <si>
    <t>=RC[7]HYPERLINK("http://dx.doi.org/10.1097/EE9.0000000000000362","http://dx.doi.org/10.1097/EE9.0000000000000362")</t>
  </si>
  <si>
    <t>Extreme weather events, including wildfires, are becoming more intense, frequent, and expansive due to climate change, thus increasing negative health outcomes. However, such effects can vary across space, time, and population subgroups, requiring methods that can handle multiple exposed units, account for time-varying confounding, and capture heterogeneous treatment effects. In this article, we proposed an approach based on staggered generalized synthetic control methods to study heterogeneous health effects, using the 2018 California wildfire season as a case study. This study aimed to estimate the effects of the November 2018 California wildfires, one of the state's deadliest and most destructive wildfire seasons, on respiratory and circulatory health, document heterogeneity in health impacts, and investigate drivers of this heterogeneity. We applied a two-stage generalized synthetic control method to compare health outcomes in exposed (from 8 November to 5 December 2018) versus unexposed counties and used random-effects meta-regression to evaluate the effect modification of county-level socioeconomic variables on the observed health effects of the November 2018 wildfires. We observed an increase in respiratory hospitalizations for most exposed counties when compared with unexposed counties, with significant increases in Fresno, San Francisco, San Joaquin, San Mateo, and Santa Clara counties. No effect on circulatory hospitalizations was observed. County-level sociodemographic characteristics seem to not modulate the effects of wildfire smoke on respiratory hospitalizations. This novel two-stage framework can be applied in broader settings to understand spatially and temporally compounded health impacts of climate hazards. We provide codes in R for reproducibility and replication purposes.</t>
  </si>
  <si>
    <t>ENVIRONMENTAL SCIENCE-ATMOSPHERES</t>
  </si>
  <si>
    <t>HEADACHE</t>
  </si>
  <si>
    <t>Dennin, LR; Nock, D; Muller, NZ; Akindele, M; Adams, PJ</t>
  </si>
  <si>
    <t>Socially vulnerable communities face disproportionate exposure and susceptibility to US wildfire and prescribed burn smoke</t>
  </si>
  <si>
    <t>COMMUNICATIONS EARTH &amp; ENVIRONMENT</t>
  </si>
  <si>
    <t>AIR-POLLUTION; HEALTH IMPACTS; TIME-SERIES; FIRE SMOKE; MORTALITY; PM2.5; DISPARITIES; CALIFORNIA; EMISSIONS; MODEL</t>
  </si>
  <si>
    <t>=HYPERLINK("http://dx.doi.org/10.1038/s43247-025-02100-y","http://dx.doi.org/10.1038/s43247-025-02100-y")</t>
  </si>
  <si>
    <t>Environmental Sciences; Geosciences, Multidisciplinary; Meteorology &amp; Atmospheric Sciences</t>
  </si>
  <si>
    <t>While air pollution from most U.S. sources has decreased, emissions from wildland fires have risen. Here, we use an integrated assessment model to estimate that wildfire and prescribed burn smoke caused $200 billion in health damages in 2017, associated with 20,000 premature deaths. Nearly half of this damage came from wildfires, predominantly in the West, with the remainder from prescribed burns, mostly in the Southeast. Our analysis reveals positive correlations between smoke exposure and various social vulnerability measures; however, when also considering smoke susceptibility, these disparities are systematically influenced by age. Senior citizens, who are disproportionately White, represented 16% of the population but incurred 75% of the damages. Nonetheless, within most age groups, Native American and Black communities experienced the greatest damages per capita. Our work highlights the extraordinary and disproportionate effects of the growing threat of fire smoke and calls for targeted, equitable policy solutions for a healthier future.</t>
  </si>
  <si>
    <t>Goin, DE; Benmarhnia, T; Huang, SH; Lurmann, F; Mukherjee, A; Morello-Frosch, R; Padula, AM</t>
  </si>
  <si>
    <t>The Camp fire and perinatal health: an example of the generalized synthetic control method to identify susceptible windows of exposure</t>
  </si>
  <si>
    <t>AMERICAN JOURNAL OF EPIDEMIOLOGY</t>
  </si>
  <si>
    <t>wildfire; preterm birth; pregnancy; sex ratio; susceptible windows; natural experiment</t>
  </si>
  <si>
    <t>BIRTH OUTCOMES; WEIGHT; COHORT</t>
  </si>
  <si>
    <t>=HYPERLINK("http://dx.doi.org/10.1093/aje/kwae261","http://dx.doi.org/10.1093/aje/kwae261")</t>
  </si>
  <si>
    <t xml:space="preserve">The November 2018 Camp fire was the most destructive wildfire in California history, but its effects on reproductive health are not known. We linked California birth records from 2017-2019 to daily smoke levels using US EPA Air Quality System (AQS) PM2.5 data and NOAA Hazard Mapping System smoke plume polygons during the Camp fire. In the main analysis, pregnancies were considered exposed if they had median AQS PM2.5 levels above 50 mu g/m3 for at least 7 days during November 8-22, 2018. We calculated rates of preterm birth and the infant sex ratio based on week of conception and used the generalized synthetic control method to estimate the average treatment effect on the treated and to propose a novel approach to identify potential critical weeks of exposure during pregnancy. We found associations between Camp fire-related smoke exposure and rates of preterm birth, with a risk difference (RD) of 0.005 and a 95% confidence interval (CI) of 0.001-0.010. Exposure during week 10 of pregnancy was consistently associated with increased preterm birth (RD, 0.030; 95% CI, 0.004-0.056). We did not observe differences in the infant sex ratio. Camp fire smoke exposure was associated with increased rates of preterm birth, with sensitive windows in the first trimester.This article is part of a Special Collection on Environmental Epidemiology. </t>
  </si>
  <si>
    <t>Environmental Sciences; Toxicology</t>
  </si>
  <si>
    <t>Yerabandi, N; Chang, JH; Woo, KP; Schleicher, M; Gordon, IO; Miller, BT; Galway, U</t>
  </si>
  <si>
    <t>Should anesthesiologists worry about climate change exposure in patients? A scoping review</t>
  </si>
  <si>
    <t>JOURNAL OF CLIMATE CHANGE AND HEALTH</t>
  </si>
  <si>
    <t>Anesthesia; Climate change; Anesthesia outcomes; Unhealthy air; Wildfire smoke; Comorbidities</t>
  </si>
  <si>
    <t>WILDFIRE SMOKE EXPOSURE; RESPIRATORY SYMPTOMS; BRONCHOSPASM; POLLUTION; DAMAGE</t>
  </si>
  <si>
    <t>=RC[10]R[4]C[4]("http://dx.doi.org/10.1016/j.joclim.2024.100328","http://dx.doi.org/10.1016/j.joclim.2024.100328")</t>
  </si>
  <si>
    <t>Introduction: The healthcare industry, especially anesthesia, is a significant contributor of greenhouse gas emissions; however, we do not know whether climate change affects anesthesia outcomes. Our objective was to assess the current understanding of the effects of climate change on anesthesia outcomes. Methods: We performed a comprehensive search of all literature on pediatric and adult anesthesia outcomes as a result of climate change and related extreme weather events. Results: Our search yielded 4,702 articles, out of which one met our inclusion criteria. The relevant study in our final analysis focused on adverse pediatric anesthesia outcomes after wildfire smoke exposure and found that patients with a history of reactive airway disease were at a higher risk of an adverse anesthesia outcome when exposed to unhealthy air. Conclusions: The current research on the impact of climate change on anesthesia outcomes is extremely scarce. Climate change has many effects on various organ systems, and, especially in conjunction with comorbidities, may affect anesthesia outcomes. Further research is needed to better understand perioperative complications related to climate change that can affect the health of patients requiring anesthesia. (c) 2024 The Authors. Published by Elsevier Masson SAS. This is an open access article under the CC BY-NC license (http://creativecommons.org/licenses/by-nc/4.0/)</t>
  </si>
  <si>
    <t>Gordon, L; Evans, MJ; Zylstra, P; Lindenmayer, DB</t>
  </si>
  <si>
    <t>Trends and Gaps in Prescribed Burning Research</t>
  </si>
  <si>
    <t>ENVIRONMENTAL MANAGEMENT</t>
  </si>
  <si>
    <t>Hazard reduction; Prescribed burn; Ecological burn; Structural topic model; Text analysis; Wildfire</t>
  </si>
  <si>
    <t>PARTICULATE-EMISSIONS; CLIMATE-CHANGE; FIRE; FORESTS; HEALTH; SMOKE; RESTORATION; MANAGEMENT; AUSTRALIA; WILDFIRES</t>
  </si>
  <si>
    <t>=R[1]HYPERLINK("http://dx.doi.org/10.1007/s00267-025-02119-z","http://dx.doi.org/10.1007/s00267-025-02119-z")</t>
  </si>
  <si>
    <t>Prescribed burning is a key tool in land management globally used to reduce wildfire risks and achieve ecological, cultural and resource management objectives across both natural and human systems. Despite its widespread application, research on prescribed burning is marked by significant gaps. Subsequently, we posed the following research questions: (1) What are the key research topics that define international, peer-reviewed literature on prescribed burning? (2) What are the temporal and spatial trends of these topics? (3) What are the relationships between the national income of a given country and the trends in research topics? And, (4) What are the most salient knowledge gaps in peer-reviewed prescribed burning research, and how can they be addressed? We used structural topic modelling and geoparsing to conduct a detailed text analysis of 7878 peer-reviewed articles on prescribed burning. We revealed that research on prescribed burning is dominated by studies from high-income countries, particularly the United States. This highlights a geographical bias that may skew global understanding and application of prescribed burning practices. Our topic modelling revealed the most prevalent topics to be Fire Regimes and Landscape Biodiversity Management, whilst topics such as Air Pollution &amp; Health, and Wildfire Risk Management gained prominence in recent years. Our analysis highlighted a disconnect between forestry-related research and broader landscape management topics. This finding emphasises the need for more interdisciplinary research, and research on the use and effects of prescribed burning in diverse ecosystems and underrepresented regions, particularly in the context of climate change.</t>
  </si>
  <si>
    <t>Shen, XL; Zhang, HX; Wang, YZ; Wang, QR</t>
  </si>
  <si>
    <t>Unveiling the Dynamics of Human Mobility in Response to Wildfire-Induced Air Quality Degradation: An Examination of the 2019 Kincade Fire</t>
  </si>
  <si>
    <t>JOURNAL OF MANAGEMENT IN ENGINEERING</t>
  </si>
  <si>
    <t>Human mobility; Disaster response; Particulate matter 2.5 (PM2.5) concentration; Vulnerable populations</t>
  </si>
  <si>
    <t>HEALTH IMPACTS; PARTICULATE MATTER; DECISION-MAKING; CLIMATE-CHANGE; UNITED-STATES; WESTERN US; FLOOD RISK; POLLUTION; EXPOSURE; SMOKE</t>
  </si>
  <si>
    <t>=RC[-2]HYPERLINK("http://dx.doi.org/10.1061/JMENEA.MEENG-6340","http://dx.doi.org/10.1061/JMENEA.MEENG-6340")</t>
  </si>
  <si>
    <t>Engineering, Industrial; Engineering, Civil</t>
  </si>
  <si>
    <t>Rising wildfire frequency and intensity are exacerbating air pollution, significantly impacting human mobility, particularly among vulnerable populations like low-income, elderly, and minority groups. This study, set in Sonoma County, California during the 2019 Kincade Fire, examines how particulate matter 2.5 (PM2.5) affects mobility patterns in communities not under direct evacuation orders. Analyzing daily home-dwell time, travel distance, and resident outflow, we note variations in how different groups respond to changing PM2.5 levels. Our findings reveal a direct relationship between PM2.5 concentration and mobility changes: higher PM2.5 levels are linked to increased travel distances and reduced home-dwell times, suggesting an adaptive response to air quality degradation. A notable decrease in weekend outflows indicates heightened air quality concerns affecting mobility. Through counterfactual analysis, we isolate the effects of PM2.5 on mobility patterns, and the results suggest that deteriorating air quality correlates with reduced outflow ratios. Our findings emphasize the need for targeted policy interventions to help vulnerable populations enhance their resilience to air quality deterioration during such events.</t>
  </si>
  <si>
    <t>SCIENTIFIC REPORTS</t>
  </si>
  <si>
    <t>Multidisciplinary Sciences</t>
  </si>
  <si>
    <t>Wilson, AL; Cui, WQ; Hu, YQ; Chiapasco, M; Rein, G; Porter, AE; Fowler, G; Stettler, MEJ</t>
  </si>
  <si>
    <t>Particles emitted from smouldering peat: size-resolved composition and emission factors</t>
  </si>
  <si>
    <t>BIOMASS-BURNING EMISSIONS; LOW-PRESSURE IMPACTOR; LARGE-SCALE WILDFIRES; LONG-RANGE TRANSPORT; PARTICULATE MATTER; FINE-PARTICLE; PHYSICOCHEMICAL CHARACTERIZATION; CHEMICAL-CHARACTERIZATION; SOURCE APPORTIONMENT; ULTRAFINE PARTICLES</t>
  </si>
  <si>
    <t>=HYPERLINK("http://dx.doi.org/10.1039/d4ea00124a","http://dx.doi.org/10.1039/d4ea00124a")</t>
  </si>
  <si>
    <t>Peat fires emit large quantities of particles and gases, which cause extensive haze events. Epidemiological studies have correlated wildfire smoke inhalation with increased morbidity and mortality. Despite this, uncertainties surrounding particle properties and their impact on human health and the climate remain. To expand on the limited understanding this laboratory study investigated the physicochemical characteristics of particles emitted from smouldering Irish peat. Properties investigated included number and mass emission factors (EFs), size distribution, morphology, and chemical composition. Fine particles with a diameter less than 2.5 mu m (PM2.5), accounted for 91 +/- 2% of the total particle mass and the associated mass EF was 12.52 +/- 1.40 g kg-1. Transmission electron microscopy imaging revealed irregular shaped metal particles, spherical sulfate particles, and carbonaceous particles with clusters of internal particles. Extracted particle-bound metals accounted for 3.1 +/- 0.5% of the total particle mass, with 86% of the quantified metals residing in the fraction with a diameter less than 1 mu m. Redox active and carcinogenic metals were detected in the particles, which have been correlated with adverse health effects if inhaled. This study improves the understanding of size-resolved particle characteristics relevant to near-source human exposure and will provide a basis for comparison to other controlled and natural peatland fires.</t>
  </si>
  <si>
    <t>Goodrich, JM; Furlong, MA; Urwin, DJ; Gabriel, J; Hughes, J; Jung, AM; Calkins, MM; Dubose, KN; Caban-Martinez, AJ; Solle, NS; Beitel, SC; Burgess, JL</t>
  </si>
  <si>
    <t>Epigenetic Modifications Associated With Wildland-Urban Interface (WUI) Firefighting</t>
  </si>
  <si>
    <t>ENVIRONMENTAL AND MOLECULAR MUTAGENESIS</t>
  </si>
  <si>
    <t>biomarkers; DNA methylation; epigenomics; firefighting; microRNA; molecular epidemiology; occupational health; wildland-urban interface</t>
  </si>
  <si>
    <t>LUNG-FUNCTION; SMOKE; BIOMARKERS; MIR-148B-3P; MIGRATION; MICRORNA; EXPOSURE; PROMOTES; CANCER; CELLS</t>
  </si>
  <si>
    <t>Environmental Sciences; Genetics &amp; Heredity; Toxicology</t>
  </si>
  <si>
    <t>Wildland-urban interface (WUI) firefighting involves exposure to burning vegetation, structures, and other human-made hazards, often without respiratory protection. Response activities can last for long periods of time, spanning multiple days or weeks. Epigenetic modifications, including microRNA (miRNA) expression and DNA methylation, are responsive to toxicant exposures and are part of the development of cancers and other diseases. Epigenetic modifications have not been studied in relation to WUI fires. Firefighters (n = 99) from southern California, including 79 firefighters who responded to at least one WUI fire, provided blood samples at baseline and approximately 10 months later. We quantified the relative abundance of 800 miRNAs in blood samples using the nCounter Human v3 miRNA expression panel and blood leukocyte DNA methylation throughout the genome via the Infinium EPIC array. We used linear mixed models to compare the expression of each miRNA across time and DNA methylation at each locus, adjusting for potential confounders. In the miRNA analysis among all firefighters, 65 miRNAs were significantly different at follow-up compared to baseline at a false discovery rate of 5%. Results were similar when restricted to firefighters with a recorded WUI fire exposure during the interim period, although only 50 were significant. Expression of miRNA hsa-miR-518c-3p, a tumor suppressor, was significantly associated with WUI fire response (fold change 0.77, 95% CI = [0.69, 0.87]). In the DNA methylation analysis, no statistically significant changes over time were identified. In summary, WUI fire exposures over a wildfire season altered miRNA expression but did not substantially impact DNA methylation.</t>
  </si>
  <si>
    <t>GEOHEALTH</t>
  </si>
  <si>
    <t>GONDWANA RESEARCH</t>
  </si>
  <si>
    <t>Geosciences, Multidisciplinary</t>
  </si>
  <si>
    <t>Oerther, S; Manspeaker, S; Wix, A; Oerther, D; Marsit, C</t>
  </si>
  <si>
    <t>The Effects of Wildfires on the Mental and Physical Health of School-Age Children in North America: A Scoping Review</t>
  </si>
  <si>
    <t>JOURNAL OF CHILD AND ADOLESCENT PSYCHIATRIC NURSING</t>
  </si>
  <si>
    <t>mental health; pediatric; wildfire</t>
  </si>
  <si>
    <t>SOUTHERN CALIFORNIA WILDFIRES; WILDLAND FIRE SMOKE; PTSD SYMPTOMATOLOGY; CLIMATE-CHANGE; AIR-POLLUTION; EXPOSURE; IMPACTS; SYMPTOMS; DISASTER; OUTCOMES</t>
  </si>
  <si>
    <t>=R[10]C[-6]HYPERLINK("http://dx.doi.org/10.1111/jcap.70002","http://dx.doi.org/10.1111/jcap.70002")</t>
  </si>
  <si>
    <t>Nursing</t>
  </si>
  <si>
    <t>BackgroundWildfires are occurring more often and with greater intensity, leading to longer and harsher fire seasons. As a result, children are more frequently exposed to wildfire smoke, which increases their risk of mental and physical health effects.PurposeThe purpose of our scoping review is to explore the current literature on what is known about the direct and indirect impacts of wildfires on the mental and physical health of school-age children in North America (5 to 18-year-olds).MethodsA health sciences librarian-assisted literature search, with input from the research team, was performed.ResultsA total of 16 studies were selected. Common mental health symptoms such as anxiety, depression, suicidal thinking, and post-traumatic stress disorder have been identified. The findings of this review are in line with recent studies showing a connection between adult wildfire exposure and respiratory conditions; however, no cardiovascular health effects in children were identified.ConclusionsThe available studies in our review demonstrate that wildfires do increase the impacts on both mental and physical health postexposure in school-age children. Future research should specifically include larger samples, more qualitative and longitudinal studies that can more effectively analyze the effects of wildfire events on psychological factors over time, conceptual frameworks, and exposure metrics specific for PM2.5 from wildfire smoke.</t>
  </si>
  <si>
    <t>Carreras-Sospedra, M; Zhu, SP; Mackinnon, M; Lassman, W; Mirocha, JD; Barbato, M; Dabdub, D</t>
  </si>
  <si>
    <t>Air quality and health impacts of the 2020 wildfires in California</t>
  </si>
  <si>
    <t>FIRE ECOLOGY</t>
  </si>
  <si>
    <t>Wildfires; Air quality; Low-cost sensors; Health impacts</t>
  </si>
  <si>
    <t>HOSPITAL ADMISSIONS; UNITED-STATES; TIME-SERIES; POLLUTION; MODEL; MORTALITY; EXPOSURE; PM2.5; CMAQ; METEOROLOGY</t>
  </si>
  <si>
    <t>=RC[3]HYPERLINK("http://dx.doi.org/10.1186/s42408-023-00234-y","http://dx.doi.org/10.1186/s42408-023-00234-y")</t>
  </si>
  <si>
    <t>BackgroundWildfires in 2020 ravaged California to set the annual record of area burned to date. Clusters of wildfires in Northern California surrounded the Bay Area covering the skies with smoke and raising the air pollutant concentrations to hazardous levels. This study uses the Fire Inventory from the National Center for Atmospheric Research database and the Community Multiscale Air Quality model to estimate the effects of wildfire emissions on air quality during the period from August 16 to October 28 of 2020. In addition, low-cost sensor data for fine particulate matter (PM2.5) from the PurpleAir network is used to enhance modeled PM2.5 concentrations. The resulting impacts on ozone and PM2.5 are used to quantify the health impacts caused by wildfires using the Benefits Mapping and Analysis Program - Community Edition.ResultsWildfire activity significantly increased direct PM2.5 emissions and emissions of PM2.5 and ozone precursors. Direct PM2.5 emissions surged up to 38 times compared to an average day. Modeling results indicated that wildfires alone led to a rise in ozone daily maximum 8-h average by up to 10 ppb and exceeded PM2.5 air quality standards in numerous locations by up to 10 times. While modeled PM2.5 concentrations were lower than measurements, correcting these with PurpleAir data improved the accuracy. The correction using PurpleAir data increased estimates of wildfire-induced mortality due to PM2.5 exposure by up to 16%.ConclusionsThe increased hospital admissions and premature mortality attributed to wildfires were found to be comparable to the health impacts avoided by strategies aimed at meeting ozone and PM2.5 air quality standards. This suggests that widespread wildfire emissions can negate years of efforts dedicated to controlling air pollution. The integration of low-cost sensor data proved invaluable in refining the estimates of health impacts from PM2.5 resulting from wildfires.</t>
  </si>
  <si>
    <t>Do, V; Chen, C; Benmarhnia, T; Casey, JA</t>
  </si>
  <si>
    <t>Spatial Heterogeneity of the Respiratory Health Impacts of Wildfire Smoke PM2.5 in California</t>
  </si>
  <si>
    <t>wildfire; smoke; acute care utilization; spatial heterogeneity; vulnerability; environmental justice</t>
  </si>
  <si>
    <t>REFERENT SELECTION-STRATEGIES; CASE-CROSSOVER; AIR-POLLUTION; WESTERN US; INTERSECTIONALITY; EXPOSURE; INCREASE; CLIMATE</t>
  </si>
  <si>
    <t>=HYPERLINK("http://dx.doi.org/10.1029/2023GH000997","http://dx.doi.org/10.1029/2023GH000997")</t>
  </si>
  <si>
    <t>Wildfire smoke fine particles (PM2.5) are a growing public health threat as wildfire events become more common and intense under climate change, especially in the Western United States. Studies assessing the association between wildfire PM2.5 exposure and health typically summarize the effects over the study area. However, health responses to wildfire PM2.5 may vary spatially. We evaluated spatially-varying respiratory acute care utilization risks associated with short-term exposure to wildfire PM2.5 and explored community characteristics possibly driving spatial heterogeneity. Using ensemble-modeled daily wildfire PM2.5, we defined a wildfire smoke day to have wildfire-specific PM2.5 concentration &gt;= 15 mu g/m3. We included daily respiratory emergency department visits and unplanned hospitalizations in 1,396 California ZIP Code Tabulation Areas (ZCTAs) and 15 census-derived community characteristics. Employing a case-crossover design and conditional logistic regression, we observed increased odds of respiratory acute care utilization on wildfire smoke days at the state level (odds ratio [OR] = 1.06, 95% confidence interval [CI]: 1.05, 1.07). Across air basins, ORs ranged from 0.88 to 1.57, with the highest effect estimate in San Diego. A within-community matching design and spatial Bayesian hierarchical model also revealed spatial heterogeneity in ZCTA-level rate differences. For example, communities with a higher percentage of Black or Pacific Islander residents had stronger wildfire PM2.5-outcome relationships, while more air conditioning and tree canopy attenuated associations. We found an important heterogeneity in wildfire smoke-related health impacts across air basins, counties, and ZCTAs, and we identified characteristics of vulnerable communities, providing evidence to guide policy development and resource allocation.</t>
  </si>
  <si>
    <t>Qiu, MH; Kelp, M; Heft-Neal, S; Jin, XM; Gould, CF; Tong, DQ; Burke, M</t>
  </si>
  <si>
    <t>Evaluating Chemical Transport and Machine Learning Models for Wildfire Smoke PM2.5: Implications for Assessment of Health Impacts</t>
  </si>
  <si>
    <t>wildfire; air quality; smoke pollution; environmental health; PM2.5; chemicaltransport model; machine learning</t>
  </si>
  <si>
    <t>POPULATION EXPOSURE; PARTICULATE MATTER; AIR-POLLUTION; AEROSOL; RISK; SATELLITE; FORECASTS; FIRES</t>
  </si>
  <si>
    <t>=HYPERLINK("http://dx.doi.org/10.1021/acs.est.4c05922","http://dx.doi.org/10.1021/acs.est.4c05922")</t>
  </si>
  <si>
    <t>Growing wildfire smoke represents a substantial threat to air quality and human health. However, the impact of wildfire smoke on human health remains imprecisely understood due to uncertainties in both the measurement of exposure of population to wildfire smoke and dose-response functions linking exposure to health. Here, we compare daily wildfire smoke-related surface fine particulate matter (PM2.5) concentrations estimated using three approaches, including two chemical transport models (CTMs): GEOS-Chem and the Community Multiscale Air Quality (CMAQ) and one machine learning (ML) model over the contiguous US in 2020, a historically active fire year. In the western US, compared against surface PM2.5 measurements from the US Environmental Protection Agency (EPA) and PurpleAir sensors, we find that CTMs overestimate PM2.5 concentrations during extreme smoke episodes by up to 3-5 fold, while ML estimates are largely consistent with surface measurements. However, in the eastern US, where smoke levels were much lower in 2020, CTMs show modestly better agreement with surface measurements. We develop a calibration framework that integrates CTM- and ML-based approaches to yield estimates of smoke PM2.5 concentrations that outperform individual approach. When combining the estimated smoke PM2.5 concentrations with county-level mortality rates, we find consistent effects of low-level smoke on mortality but large discrepancies in effects of high-level smoke exposure across different methods. Our research highlights the differences across estimation methods for understanding the health impacts of wildfire smoke and demonstrates the importance of bench-marking estimates with available surface measurements.</t>
  </si>
  <si>
    <t>Maji, KJ; Ford, B; Li, ZR; Hu, YT; Hu, LQ; Langer, CE; Hawkinson, C; Paladugu, S; Moraga-McHaley, S; Woods, B; Vansickle, M; Uejio, CK; Maichak, C; Sablan, O; Magzamen, S; Pierce, JR; Russell, AG</t>
  </si>
  <si>
    <t>Impact of the 2022 New Mexico, US wildfires on air quality and health</t>
  </si>
  <si>
    <t>SCIENCE OF THE TOTAL ENVIRONMENT</t>
  </si>
  <si>
    <t>Wildfire; New Mexico; Air pollution; Chemical transport model; Premature deaths</t>
  </si>
  <si>
    <t>PARTICULATE MATTER; SMOKE EXPOSURE; TIME-SERIES; WESTERN US; FIRE SMOKE; OZONE; EMISSIONS; POLLUTION; MORTALITY; SYSTEM</t>
  </si>
  <si>
    <t>=HYPERLINK("http://dx.doi.org/10.1016/j.scitotenv.2024.174197","http://dx.doi.org/10.1016/j.scitotenv.2024.174197")</t>
  </si>
  <si>
    <t>The 2022 wildfires in New Mexico, United States, were unparalleled compared to past wildfires in the state in both their scale and intensity, resulting in poor air quality and a catastrophic loss of habitat and livelihood. Among all wildfires in New Mexico in 2022, six wildfires were selected for our study based on the size of the burn area and their proximity to populated areas. These fires accounted for approximately 90 % of the total burn area in New Mexico in 2022. We used a regional chemical transport model and data-fusion technique to quantify the contribution of these six wildfires (April 6 to August 22) on particulate matter (PM2.5: diameter &lt;= 2.5 mu m) and ozone (O3) concentrations, as well as the associated health impacts from short-term exposure. We estimated that these six wildfires emitted 152 thousand tons of PM2.5 and 287 thousand tons of volatile organic compounds to the atmosphere. We estimated that the average daily wildfire smoke PM2.5 across New Mexico was 0.3 mu g/m3, though 1 h maximum exceeded 120 mu g/m3 near Santa Fe. Average wildfire smoke maximum daily average 8-h O3 (MDA8-O3) contribution was 0.2 ppb during the study period over New Mexico. However, over the state 1 h maximum smoke O3 exceeded 60 ppb in some locations near Santa Fe. Estimated all-cause excess mortality attributable to short term exposure to wildfire PM2.5 and MDA8-O3 from these six wildfires were 18 (95 % Confidence Interval (CI), 15-21) and 4 (95 % CI: 3-6) deaths. Additionally, we estimate that wildfire PM2.5 was responsible for 171 (95 %: 124-217) excess cases of asthma emergency department visits. Our findings underscore the impact of wildfires on air quality and human health risks, which are anticipated to intensify with global warming, even as local anthropogenic emissions decline.</t>
  </si>
  <si>
    <t>Gao, Y; Huang, WZ; Xu, ZH; Xu, RB; Gasevic, D; Liu, YM; Yue, X; Zhou, GW; Zhang, Y; Song, JN; Liu, H; Guo, YM; Li, SS</t>
  </si>
  <si>
    <t>Wildfire-related PM 2.5 and cause-specific cancer mortality</t>
  </si>
  <si>
    <t>ECOTOXICOLOGY AND ENVIRONMENTAL SAFETY</t>
  </si>
  <si>
    <t>Wildfires; Air pollution; Cancer; Cohort</t>
  </si>
  <si>
    <t>POLLUTION; PM2.5; RISK</t>
  </si>
  <si>
    <t>=HYPERLINK("http://dx.doi.org/10.1016/j.ecoenv.2024.117023","http://dx.doi.org/10.1016/j.ecoenv.2024.117023")</t>
  </si>
  <si>
    <t>Wildfires have devastating effects on society and public health. However, little evidence from population-based cohort has been performed to analyze the relationship of wildfire-related PM2.5, an important component of wildfire smoke, with cancer-specific mortality. We aimed to explore this relationship and identify vulnerable populations in UK with lower levels of wildfire-related PM 2.5 exposure. The study consisted of 492394 participants (age: 38-73 years) recruited by UK Biobank during 2004-2010. The cumulative wildfire-related PM 2.5 within 10 kilometers of residence over three years was used as exposure, which was assessed by chemical transport and machine learning models. A time-varying Cox regression was utilized to explore the relationship of exposure with diverse cancer-specific mortality outcomes. Subgroup analyses of a range of potential modifiers were performed. Each 10 mu g/m3 increment of 3-year cumulative exposure was related to a 0.4 % greater risk of total cancer (95 %CI: 1.001-1.007), a 1.1 % greater risk of lung cancer (95 %CI: 1.004-1.018), and a 2.7 % greater risk of lip, oral cavity and pharynx (LOP) cancer (95 %CI: 1.005-1.049). Higher vulnerability in the wildfire-related PM2.5-lung cancer relationship was found among participants being retired than those with other employment status. Even lower levels of exposure to PM 2.5 from wildfires were related to elevated mortality risks for cancer from total, lung, LOP, highlighting the importance of wildfire prevention and control. Further investigations are warranted to enrich and extend existing knowledge in this field.</t>
  </si>
  <si>
    <t>Kuhn, BT; Gupta, R</t>
  </si>
  <si>
    <t>Improving Wildfire Readiness Among Patients With Chronic Obstructive Pulmonary Disease and Asthma: Applying a Population Health Approach to Climate Change</t>
  </si>
  <si>
    <t>CHRONIC OBSTRUCTIVE PULMONARY DISEASES-JOURNAL OF THE COPD FOUNDATION</t>
  </si>
  <si>
    <t>wildfires; air pollution; climate change; chronic obstructive pulmonary disease; alpha-1 antitrypsin deficiency</t>
  </si>
  <si>
    <t>AIR-POLLUTION; FIRE SMOKE; ALPHA-1-ANTITRYPSIN; ASSOCIATION; CALIFORNIA; CHILDREN; EXPOSURE; QUALITY; IMPACTS; DECLINE</t>
  </si>
  <si>
    <t>=RC[3]HYPERLINK("http://dx.doi.org/10.15326/jcopdf.2024.0509","http://dx.doi.org/10.15326/jcopdf.2024.0509")</t>
  </si>
  <si>
    <t>Respiratory System</t>
  </si>
  <si>
    <t>As a result of climate change, wildfire frequency, duration, and severity are increasing in the United States. Exposure to wildfire- related air pollutants can lead to negative health outcomes, particularly among patients with preexisting respiratory diseases (e.g., asthma and chronic obstructive pulmonary disease) and those who are at higher risk for developing these conditions. Underserved communities are disproportionately affected for multiple reasons, including lack of financial and social resources, increased exposure to air pollutants at home and at work, and impaired access to health care. To best serve clinically high-risk and underserved populations, health systems must leverage community public health data, develop and mobilize a wildfire preparedness action plan to identify populations at high risk, and implement interventions to mitigate the consequences of poor air quality. University of California, Davis Health, located at the epicenter of the largest wildfires in California's history, has developed the 5 pillar Wildfire Population Health Approach: (1) identify clinically at-risk and underserved patient populations using well-validated, condition-targeted registries; (2) assemble multidisciplinary care teams to understand the needs of these communities and patients; (3) create custom analytics and wildfire-risk stratification; (4) develop care pathways based on wildfire-risk tiers by disease, risk of exposure, and health care access; and (5) identify outcome measures tailored to interventions with a commitment to continuous, iterative improvement efforts. The Wildfire Population Health Approach provides an action plan for health systems and care teams to meet the needs of clinically at-risk and underserved patients affected by the increasing health threat posed by climate change-related wildfires.</t>
  </si>
  <si>
    <t>Silver, B; Arnold, SR; Reddington, CL; Emmons, LK; Conibear, L</t>
  </si>
  <si>
    <t>Large transboundary health impact of Arctic wildfire smoke</t>
  </si>
  <si>
    <t>GLOBAL FIRE EMISSIONS; AIR-POLLUTION; BLACK CARBON; FOREST; MORTALITY; MODEL; MULTIMODEL; ATMOSPHERE; TRANSPORT</t>
  </si>
  <si>
    <t>=HYPERLINK("http://dx.doi.org/10.1038/s43247-024-01361-3","http://dx.doi.org/10.1038/s43247-024-01361-3")</t>
  </si>
  <si>
    <t>Rapid warming at high latitudes, particularly in Siberia, has led to large wildfires in recent years that cause widespread smoke plumes. These fires lead to substantial deterioration in summer air quality in the region, with a factor 4 increase in summer fine particulate matter (PM2.5) concentrations in parts of Siberia during 1998-2020. Exposure to PM2.5 is associated with increased risk of mortality due to cardiovascular and respiratory disease, and the atmospheric lifetime of PM2.5 means that it can be efficiently transported between regions and nations. We used the Community Earth System Model to quantify the fraction of PM2.5 attributed to high latitude wildfires that occur in the Arctic Council member states and estimated the attributable health impact locally and in neighbouring countries. During 2001-2020 we attribute similar to 21,000 excess deaths to Arctic Council wildfires on average each year, of which similar to 8000 occur in countries outside the Arctic Council. Our analysis shows that the health impact of Arctic wildfires decreased during 2001-2020, despite the increase of wildfire-sourced PM2.5, which we suggest is due to a northwards shift in the average latitude of Siberian wildfires, reducing their impact on more densely populated regions.</t>
  </si>
  <si>
    <t>Lin, Y; Wang, XT; Chen, RX; Weil, T; Ge, YH; Stapleton, HM; Bergin, MH; Zhang, JF</t>
  </si>
  <si>
    <t>Arachidonic Acid Metabolites in Self-Collected Biospecimens following Campfire Exposure: Exploring Non-invasive Biomarkers of Wildfire Health Effects</t>
  </si>
  <si>
    <t>ENVIRONMENTAL SCIENCE &amp; TECHNOLOGY LETTERS</t>
  </si>
  <si>
    <t>wildfire; biomarker; arachidonicacid; cyclooxygenase; biospecimen; airpollution</t>
  </si>
  <si>
    <t>QUANTIFICATION; INFLAMMATION</t>
  </si>
  <si>
    <t>Climate change has contributed to the increased frequency and intensity of wildfires. Studying its acute effects is limited due to the unpredictable nature of the occurrence of wildfires, which necessitates readily deployable techniques for collecting biospecimens. To identify biomarkers of the acute effects of wildfires, we conducted this exploratory study in eight healthy campers (four men and four women) who self-collected nasal fluid, urine, saliva, and skin wipes at different time points before, during, and after exposure to wood smoke for 4 h during a camping event. Concentrations of black carbon in the air and polycyclic aromatic hydrocarbons in participants' silicone wristbands were significantly increased during the exposure session. Among 30 arachidonic acid metabolites measured, lipoxygenase metabolites were more abundant in nasal fluid and saliva whereas cyclooxygenase and non-enzymatic metabolites were more abundant in urine. We observed drastic increases, 8 h following the exposure, in urinary levels of PGE2 (398%) and 15-keto-PGF2 alpha (191%) [false discovery rate (FDR) &lt; 10%], with greater increases in men (FDR &lt; 0.01%) than in women. No significant changes were observed for other metabolites in urine or the other biospecimens. Our results suggest urinary PGE2 and 15-keto-PGF2 alpha as promising biomarkers reflecting pathophysiologic (likely sex-dependent) changes induced by short-term exposure to wildfires.</t>
  </si>
  <si>
    <t>Ostrovsky, AM; Chen, JR</t>
  </si>
  <si>
    <t>The intracontinental impact of Canadian wildfires on US asthma and COPD patients and atmospheric conditions</t>
  </si>
  <si>
    <t>JOURNAL OF PUBLIC HEALTH-HEIDELBERG</t>
  </si>
  <si>
    <t>Asthma; COPD; Pollution; Wildfire</t>
  </si>
  <si>
    <t>=HYPERLINK("http://dx.doi.org/10.1007/s10389-024-02343-7","http://dx.doi.org/10.1007/s10389-024-02343-7")</t>
  </si>
  <si>
    <t>AimThis study aims to assess the impact of the Canadian wildfires of May-June 2023 on hospital visits for asthma and COPD across the United States, highlighting the far-reaching effects of wildfire smoke exposure.Subject and methodsHospitalization statistics, patient demographics, and patient asthma and COPD severity were sourced from the TriNetX US collaborative network to track the surge in patients seeking care for asthma and COPD across different geographical areas during the wildfire period. The patient cohort was centered on the May-June 2023 wildfire smoke wave, with information collected from 1 week before to 1 week after the event. Air quality data from AirNow.gov were obtained as a means of identifying smoke-impacted days, and to best represent the air quality for the largest number of patients.ResultsThe analysis included 86,243 patients across 63 healthcare organizations. A significant increase in hospital visits for asthma and COPD was observed during the week of the wildfires, with an average of 9.34 additional patients per facility. The Northeast region experienced the most substantial increase, with an average of 15 more patients per healthcare organization.ConclusionThe study demonstrates that wildfires can directly impact patient health and healthcare utilization rates hundreds of miles away. The findings underscore the necessity for proactive measures and cross-border collaboration to mitigate the health implications of wildfire smoke on vulnerable populations.</t>
  </si>
  <si>
    <t>JOURNAL OF ENVIRONMENTAL MANAGEMENT</t>
  </si>
  <si>
    <t>Ha, S; Abatzoglou, JT; Adebiyi, A; Ghimire, S; Martinez, V; Wang, M; Basu, R</t>
  </si>
  <si>
    <t>Impacts of heat and wildfire on preterm birth</t>
  </si>
  <si>
    <t>Heat; Wildfires; Smoke; Climate change; Preterm birth; Pregnancy</t>
  </si>
  <si>
    <t>HIGH AMBIENT-TEMPERATURE; AIR-POLLUTION; EXPOSURE; HEALTH; RISK; ASSOCIATION; MORTALITY</t>
  </si>
  <si>
    <t>=R[2]C[-6]HYPERLINK("http://dx.doi.org/10.1016/j.envres.2024.119094","http://dx.doi.org/10.1016/j.envres.2024.119094")</t>
  </si>
  <si>
    <t>Background: Climate change continues to increase the frequency, intensity, and duration of heat events and wildfires, both of which are associated with adverse pregnancy outcomes. Few studies simultaneously evaluated exposures to these increasingly common exposures. Objectives: We investigated the relationship between exposure to heat and wildfire smoke and preterm birth (PTB). Methods: In this time-stratified case-crossover study, participants consisted of 85,806 California singleton PTBs (20-36 gestational weeks) from May through October of 2015-2019. Birthing parent ZIP codes were linked to high-resolution daily weather, PM2.5 from wildfire smoke, and ambient air pollution data. Heat day was defined as a day with apparent temperature &gt;98th percentile within each ZIP code and heat wave was defined as &gt;= 2 consecutive heat days. Wildfire-smoke day was defined as a day with any exposure to wildfire-smoke PM2.5. Conditional logistic regression was used to calculate the odds ratio (OR) and 95% confidence intervals (CI) comparing exposures during a hazard period (lags 0-6) compared to control periods. Analyses were adjusted for relative humidity, fine particles, and ozone. Results: Wildfire-smoke days were associated with 3.0% increased odds of PTB (ORlag0: 1.03, CI: 1.00-1.05). Compared with white participants, associations appeared stronger among Black, Hispanic, Asian, and American Indians/Alaskan Native participants. Heatwave days (ORlag2: 1.07, CI: 1.02-1.13) were positively associated with PTB, with stronger associations among those simultaneously exposed to wildfire smoke days (ORlag2: 1.19, CI: 1.11-1.27). Similar findings were observed for heat days and when other temperature metrics (e.g., maximum, minimum) were used. Discussion: Heat and wildfire increased PTB risk with evidence of synergism. As the occurrence and co-occurrence of these events increase, exposure reduction among pregnant people is critical, especially among racial/ethnic minorities.</t>
  </si>
  <si>
    <t>Joo, T; Rogers, MJ; Soong, C; Hass-Mitchell, T; Heo, S; Bell, ML; Ng, NL; Gentner, DR</t>
  </si>
  <si>
    <t>Aged and Obscured Wildfire Smoke Associated with Downwind Health Risks</t>
  </si>
  <si>
    <t>wildland fires; organic aerosol; biomass burning; oxidative stress; long-range transport; healtheffects; source apportionment; potassium</t>
  </si>
  <si>
    <t>SECONDARY ORGANIC AEROSOL; BIOMASS BURNING SMOKE; AIR-QUALITY; EMISSION FACTORS; CARBON; US; QUANTIFICATION; TRANSPORT; IDENTIFICATION; COMPONENTS</t>
  </si>
  <si>
    <t>=RC[3]HYPERLINK("http://dx.doi.org/10.1021/acs.estlett.4c00785","http://dx.doi.org/10.1021/acs.estlett.4c00785")</t>
  </si>
  <si>
    <t>Fine-mode particulate matter (PM2.5) is a highly detrimental air pollutant, regulated without regard for chemical composition and a chief component of wildfire smoke. As wildfire activity increases with climate change, its growing continental influence necessitates multidisciplinary research to examine smoke's evolving chemical composition far downwind and connect chemical composition-based source apportionment to potential health effects. Leveraging advanced real-time speciated PM2.5 measurements, including an aerosol chemical speciation monitor in conjunction with source apportionment and health risk assessments, we quantified the stark pollution enhancements during peak Canadian wildfire smoke transport to New York City over June 6-9, 2023. Interestingly, we also observed lower-intensity, but frequent, multiday wildfire smoke episodes during May-June 2023, which risk exposure misclassification as generic aged organic PM2.5 via aerosol mass spectrometry given its extensive chemical transformations during 1 to 6+ days of transport. Total smoke-related organic PM2.5 showed significant associations with asthma exacerbations, and estimates of in-lung oxidative stress were enhanced with chemical aging, collectively demonstrating elevated health risks with increasingly frequent smoke episodes. These results show that avoiding underestimated aged biomass burning PM2.5 contributions, especially outside of peak episodes, necessitates real-time chemically resolved PM2.5 monitoring to enable next-generation health studies, models, and policy under far-reaching wildfire impacts in the 21st century.</t>
  </si>
  <si>
    <t>ENVIRONMENTAL RESEARCH LETTERS</t>
  </si>
  <si>
    <t> </t>
  </si>
  <si>
    <t>Pye, HOT; Xu, L; Henderson, BH; Pagonis, D; Campuzano-Jost, P; Guo, HY; Jimenez, JL; Allen, C; Skipper, TN; Halliday, HS; Murphy, BN; D'Ambro, EL; Wennberg, PO; Place, BK; Wiser, FC; McNeill, VF; Apel, EC; Blake, DR; Coggon, MM; Crounse, JD; Gilman, JB; Gkatzelis, GI; Hanisco, TF; Huey, LG; Katich, JM; Lamplugh, A; Lindaas, J; Peischl, J; St Clair, JM; Warneke, C; Wolfe, GM; Womack, C</t>
  </si>
  <si>
    <t>Evolution of Reactive Organic Compounds and Their Potential Health Risk in Wildfire Smoke</t>
  </si>
  <si>
    <t>wildfires; smoke; organic aerosol; reactive organic compounds; hazardous air pollutants; volatile organic compounds; air quality</t>
  </si>
  <si>
    <t>WESTERN US WILDFIRES; AIR-QUALITY; EMISSION FACTORS; FIRE EMISSIONS; TRACE GASES; ATMOSPHERIC CHEMISTRY; CARBON; IMPACTS; AEROSOL; OZONE</t>
  </si>
  <si>
    <t>http://dx.doi.org/10.1021/acs.est.4c06187</t>
  </si>
  <si>
    <t>Wildfires are an increasing source of emissions into the air, with health effects modulated by the abundance and toxicity of individual species. In this work, we estimate reactive organic compounds (ROC) in western U.S. wildland forest fire smoke using a combination of observations from the 2019 Fire Influence on Regional to Global Environments and Air Quality (FIREX-AQ) field campaign and predictions from the Community Multiscale Air Quality (CMAQ) model. Standard emission inventory methods capture 40-45% of the estimated ROC mass emitted, with estimates of primary organic aerosol particularly low (5-8x). Downwind, gas-phase species abundances in molar units reflect the production of fragmentation products such as formaldehyde and methanol. Mass-based units emphasize larger compounds, which tend to be unidentified at an individual species level, are less volatile, and are typically not measured in the gas phase. Fire emissions are estimated to total 1250 +/- 60 gC of ROC per kgC of CO, implying as much carbon is emitted as ROC as is emitted as CO. Particulate ROC has the potential to dominate the cancer and noncancer risk of long-term exposure to inhaled smoke, and better constraining these estimates will require information on the toxicity of particulate ROC from forest fires.</t>
  </si>
  <si>
    <t>Ketcherside, DT; Miller, DD; Kenerson, DR; Scott, PS; Andrew, JP; Bakker, MAY; Bundy, BA; Grimm, BK; Li, JH; Nunez, LA; Pittman, DL; Uhlorn, RP; Johnston, NAC</t>
  </si>
  <si>
    <t>Effects of Wildfire Smoke on Volatile Organic Compound (VOC) and PM2.5 Composition in a United States Intermountain Western Valley and Estimation of Human Health Risk</t>
  </si>
  <si>
    <t>benzene; PM2.5; TD-GC-MS; northwest; Idaho; wildfire; smoke; health risk; VOC</t>
  </si>
  <si>
    <t>ANTHROPOGENIC CLIMATE-CHANGE; PARTICULATE MATTER; EMISSION FACTORS; TERM EXPOSURE; MORTALITY; IMPACTS</t>
  </si>
  <si>
    <t>http://dx.doi.org/10.3390/atmos15101172</t>
  </si>
  <si>
    <t>With a warmer and drier climate, there has been an increase in wildfire events in the Northwest U.S., posing a potential health risk to downwind communities. The Lewis-Clark Valley (LCV), a small metropolitan area on the Washington/Idaho border in the United States Intermountain West region, was studied over the time period of 2017-2018. The main objective was to determine the community's exposure to particulate matter (PM2.5) and volatile organic compounds (VOCs) during wildfire smoke events and to estimate the associated health risk. VOCs were analyzed previously in the LCV using sorbent tube sampling and thermal-desorption gas-chromatography mass-spectrometry (TD-GC-MS) during several local smoke events in the 2017-2018 fire seasons. PM2.5 measurements were obtained from nearby agency monitors. PM2.5 reached up to 200 mu g/m(3) in 2017 and over 100 mu g/m(3) in 2018 in the LCV, and has been observed to be increasing at a rate of 0.10 mu g m(-3)/yr over the past two decades. Benzene, a carcinogen and air toxic, was measured with concentrations up to 11 mu g/m(3), over ten times the normal level in some instances, in the LCV. The health risk in the LCV from benzene was calculated at seven extra cancers per million for lifetime exposure and thirteen extra cancers per million considering all air toxics measured. The other cities monitored showed similar lifetime cancer risk, due to benzene of about 6-7 extra cancers per million. This work is important, as it measures ground-level exposures of VOCs and demonstrates decreases in PM2.5 air quality over time in the region.</t>
  </si>
  <si>
    <t>Blum, OE; Deblauw, JA; Greaves, LM; Shostak, ES; Ives, SJ</t>
  </si>
  <si>
    <t>Environmental exposure to wildfire smoke may reduce microvascular oxygenation during graded handgrip exercise: A case series</t>
  </si>
  <si>
    <t>PHYSIOLOGICAL REPORTS</t>
  </si>
  <si>
    <t>air quality; cardiovascular; health; particulate matter; wildfire</t>
  </si>
  <si>
    <t>http://dx.doi.org/10.14814/phy2.16120</t>
  </si>
  <si>
    <t>Physiology</t>
  </si>
  <si>
    <t>Wildfire smoke (WFS) is an urgent and rapidly growing threat to global health. Aside from obvious threats to pulmonary function, increases in cardiac abnormalities or myocardial infarction have been documented during WF season, but little is known about the effects of WFS on cardiovascular health. We investigated the effect of nonoccupational WFS exposure on cardiovascular and pulmonary function at rest and during graded handgrip exercise through a case series of young, healthy adults (n = 4, 25 +/- 6 years) assessed after &gt;= 3 days of bad or good air quality. Peripheral and estimated central blood pressures, vascular stiffness, and microvascular function (Near infrared spectroscopy, NIRS) were assessed at rest, and during rhythmic handgrip exercise. WFS did not appear to alter resting peripheral, central BP, or vascular stiffness (all, p &gt; 0.05). Slope 1 and slope 2 from the NIRS-vascular occlusion test (NIRS-VOT) were not different between conditions (p &gt; 0.05). The change in SmO2 during exercise was lower (p = 0.02, eta(2)(p)= 0.62) with bad air quality. These preliminary findings suggest modest effects of environmental WFS exposure on muscle microvascular function during exercise in healthy adults. Future work is needed to elucidate the physiological changes with WFS exposure and the increased risk of cardiovascular events, perhaps exacerbated through physical activity.</t>
  </si>
  <si>
    <t>Adibi, A; Barn, P; Shellington, EM; Harvard, S; Johnson, KM; Carlsten, C</t>
  </si>
  <si>
    <t>High-Efficiency Particulate Air Filters for Preventing Wildfire-related Asthma Complications A Cost-Effectiveness Study</t>
  </si>
  <si>
    <t>AMERICAN JOURNAL OF RESPIRATORY AND CRITICAL CARE MEDICINE</t>
  </si>
  <si>
    <t>wildfires; asthma; air filters; particulate matter; climate change</t>
  </si>
  <si>
    <t>FOREST-FIRE; SMOKE; US; MODEL</t>
  </si>
  <si>
    <t>http://dx.doi.org/10.1164/rccm.202307-1205OC</t>
  </si>
  <si>
    <t>Critical Care Medicine; Respiratory System</t>
  </si>
  <si>
    <t>Rationale: Air pollution caused by wildfire smoke is linked to adverse health outcomes, especially for people living with asthma. Objectives: To evaluate whether government rebates for high-efficiency particulate air (HEPA) filters, which reduce concentrations of smoke particles indoors, are cost effective in managing asthma and preventing exacerbations in British Columbia (BC), Canada. Methods: We used a Markov model to analyze health states for asthma control, exacerbation severity, and death over a retrospective time horizon of 5 years (2018-2022). Concentrations of wildfire smoke-derived particulate matter with an aerodynamic diameter &lt;= 2.5 mu m (PM2.5) from the Canadian Optimized Statistical Smoke Exposure Model and relevant literature informed the model. The base-case analysis assumed continuous use of a HEPA filter. Costs and quality-adjusted life-years (QALYs) resulting from varying rebates were computed for each Health Service Delivery Area (HSDA). Measurements and Main Results: In the base-case analysis, HEPA filter use resulted in increased costs of $83.34 (SE, $1.03) and increased QALYs of 0.0011 (SE, 0.0001) per person. The average incremental cost-effectiveness ratio among BC HSDAs was $74,652/QALY (SE, $3,517), with incremental cost-effectiveness ratios ranging from $40,509 to $89,206 per QALY in HSDAs. Across the province, the intervention was projected to prevent 4,418 exacerbations requiring systemic corticosteroids, 643 emergency department visits, and 425 hospitalizations during the 5-year time horizon. A full rebate was cost effective in 1 of the 16 HSDAs across BC. The probability of cost-effectiveness ranged from 0.1% to 74.8% across HSDAs. A $100 rebate was cost effective in most HSDAs. Conclusions: The cost-effectiveness of HEPA filters in managing wildfire smoke-related asthma issues in BC varies by region. Government rebates up to two-thirds of the filter cost are generally cost effective, with a full rebate being cost effective only in Kootenay Boundary.</t>
  </si>
  <si>
    <t>PROCEEDINGS OF THE NATIONAL ACADEMY OF SCIENCES OF THE UNITED STATES OF AMERICA</t>
  </si>
  <si>
    <t>SMOKE</t>
  </si>
  <si>
    <t>Meier, S; Strobl, E; Elliott, RJR</t>
  </si>
  <si>
    <t>The impact of wildfire smoke exposure on excess mortality and later-life socioeconomic outcomes: the Great Fire of 1910</t>
  </si>
  <si>
    <t>CLIOMETRICA</t>
  </si>
  <si>
    <t>Wildfire; Air pollution; Health effects; Human capital; Socioeconomic outcomes; I1; N3; N5; Q5</t>
  </si>
  <si>
    <t>AIR-POLLUTION; PARTICULATE MATTER; HEALTH; SELECTION; DISASTER; RISK</t>
  </si>
  <si>
    <t>http://dx.doi.org/10.1007/s11698-024-00297-0</t>
  </si>
  <si>
    <t>Economics; History; History Of Social Sciences</t>
  </si>
  <si>
    <t>The Great Fire of 1910 in the northwestern United States burnt more than 1.2 million hectares in just two days and stands as one of the largest wildfires ever recorded. While it is known for having led to the introduction of a rigorous fire suppression regime that lasted for much of the twentieth century, it also generated a considerable amount of smoke far beyond the burnt areas that is likely to have impacted the health of those exposed. This paper examines the short- and long-term impact of this fire-sourced smoke pollution on children, combining historical data with smoke emission and dispersion modelling. The econometric results indicate a 119% increase in excess mortality during the week of the fire and a decrease of 4-14% in later-life socioeconomic status scores 20 and 30 years after the event. This research offers novel insights into wildfire smoke repercussions on health and long-run human capital formation in a setting where avoidance behaviour was minimal.</t>
  </si>
  <si>
    <t>Postma, J; Bindler, R; Haverkamp, HC; Walden, V</t>
  </si>
  <si>
    <t>Symptoms Reported by Young Adults With Asthma During Wildfire Smoke Season</t>
  </si>
  <si>
    <t>JOURNAL OF ADOLESCENT HEALTH</t>
  </si>
  <si>
    <t>Asthma; Wildfires; Particulate matter; Climate change; Young adult; Symptom burden; Self-management</t>
  </si>
  <si>
    <t>http://dx.doi.org/10.1016/j.jadohealth.2024.07.026</t>
  </si>
  <si>
    <t>Psychology, Developmental; Public, Environmental &amp; Occupational Health; Pediatrics</t>
  </si>
  <si>
    <t>Purpose: The purpose of this article is to evaluate the relationship between exposure to poor air quality (AQ) and self-reported symptoms among young adults with asthma during wildfire smoke Methods: Sixty seven young adults (aged 18-26 years) completed the Asthma Control Test and reported asthma symptoms at three time points (baseline, 4 weeks, and 8 weeks) during wildfire season as part of a clinical trial. Bivariate correlations between Asthma Control Test and AQ measures were examined followed by predictive linear regression. Multiple symptoms were compared between participants who experienced poor AQ and those who did not. Results: Asthma control was inversely related to AQ with increased exposure to poor AQ tied to poor asthma control. A significantly greater proportion of participants reported critical respiratory and data mining, AI training, and similar technologies.</t>
  </si>
  <si>
    <t>Mylonaki, M; Gini, M; Georgopoulou, M; Pilou, M; Chalvatzaki, E; Solomos, S; Diapouli, E; Giannakaki, E; Lazaridis, M; Pandis, SN; Nenes, A; Eleftheriadis, K; Papayannis, A</t>
  </si>
  <si>
    <t>Wildfire and African dust aerosol oxidative potential, exposure and dose in the human respiratory tract</t>
  </si>
  <si>
    <t>Oxidative potential; OP exposure; PM exposure; Wildfire smoke; African dust</t>
  </si>
  <si>
    <t>AIRUSE-LIFE PLUS; PARTICULATE MATTER; SOURCE APPORTIONMENT; LUNG DEPOSITION; LOS-ANGELES; ULTRAFINE PARTICLES; SIZE DISTRIBUTIONS; ORGANIC AEROSOLS; DOSIMETRY MODEL; PM2.5</t>
  </si>
  <si>
    <t>http://dx.doi.org/10.1016/j.scitotenv.2023.169683</t>
  </si>
  <si>
    <t>Exposure to wildfire smoke and dust can severely affect air quality and health. Although particulate matter (PM) levels and exposure are well -established metrics linking to health outcomes, they do not consider differences in particle toxicity or deposition location in the respiratory tract (RT). Usage of the oxidative potential (OP) exposure may further shape our understanding on how different pollution events impact health. Towards this goal, we estimate the aerosol deposition rates, OP and resulting OP deposition rates in the RT for a typical adult Caucasian male residing in Athens, Greece. We focus on a period when African dust (1-3 of August 2021) and severe wildfires at the northern part of the Attika peninsula and the Evia island, Greece (4-18 of August 2021) affected air quality in Athens. During these periods, the aerosol levels increased twofold leading to exceedances of the World Health Organization (WHO) [15(5) mu g m(-3)] PM10 (PM2.5) air quality standard by almost 100 %. We show that the OP exposure is 1.5 -times larger during the wildfire smoke events than during the dust intrusion, even if the latter was present in higher mass loads - because wildfire smoke has a higher specific OP than dust. This result carries two important implications: OP exposure should be synergistically used with other metricssuch as PM levels - to efficiently link aerosol exposure with the resulting health effects, and, certain sources of air pollution (in our case, exposure to biomass burning smoke) may need to be preferentially controlled, whenever possible, owing to their disproportionate contribution to OP exposure and ability to penetrate deeper into the human RT.</t>
  </si>
  <si>
    <t>Zhang, YW; Huang, WZ; Xu, RB; Ye, TT; Chen, GB; Yue, X; Coêl, MDZS; Saldiva, PHN; Song, JN; Guo, YM; Li, SS</t>
  </si>
  <si>
    <t>Wildfire-sourced fine particulate matter and preterm birth risks in Brazil: A nationwide population-based cohort study</t>
  </si>
  <si>
    <t>Cohort study; Wildfire-specific PM 2.5; Preterm birth; Brazil; Critical exposure window; Time-varying Cox</t>
  </si>
  <si>
    <t>AIR-POLLUTION; AMBIENT PM2.5; RESIDENTIAL-MOBILITY; DNA-DAMAGE; HEALTH; EXPOSURE; STRESS; REPRODUCTION; TEMPERATURE; PREGNANCY</t>
  </si>
  <si>
    <t>=HYPERLINK("http://dx.doi.org/10.1016/j.jhazmat.2024.136290","http://dx.doi.org/10.1016/j.jhazmat.2024.136290")</t>
  </si>
  <si>
    <t>Wildfire-specific particulate matter with diameters &lt;= 2.5 mu m (PM2.5) is the key component of wildfire smoke, with potentially higher toxicity than PM2.5 from other sources. In this nationwide population-based cohort study, we included 22,163,195 births from Brazil during 20102019. Daily wildfire-specific PM2.5 was estimated through the chemical transport model. Time-varying Cox proportional hazards models were used to characterize the exposure-time-response (E-T-R) relationship between weekly wildfire-specific PM2.5 exposure and preterm birth (PTB) risks, followed by subgroup analyses. A 10 mu g/m(3) increment in wildfire-specific PM2.5 was associated with a hazard ratio of 1.047 (95 % confidence interval [CI]: 1.032-1.063) for PTB. Stronger associations between wildfire-specific PM2.5 and PTB were observed during earlier pregnancy, among female infants, and pregnant women &lt; 18 years old, in ethnic minorities, with a length of education &gt;= 11 years, from low-income or high-temperature municipalities, and residing in North/Northeast regions. An estimated 1.47 % (95 % CI: 1.01 %1.94 %) of PTBs were attributable to wildfire-specific PM2.5 in Brazil, increasing from 2010 to 2019. The PTBs attributable to wildfire-specific PM2.5 surpassed those attributed to non-wildfire PM2.5 (0.31 %, 95(%) CI: 0.09 %0.57 %). Wildfire emerged as a critical source contributing to the PM2.5-linked PTBs. Prioritized fire management and emission control strategies are warranted for PTB prevention.</t>
  </si>
  <si>
    <t>JOURNAL OF EXPOSURE SCIENCE AND ENVIRONMENTAL EPIDEMIOLOGY</t>
  </si>
  <si>
    <t>Environmental Sciences; Public, Environmental &amp; Occupational Health; Toxicology</t>
  </si>
  <si>
    <t>Khanmohammadi, S; Arashpour, M; Bazli, M; Farzanehfar, P</t>
  </si>
  <si>
    <t>Data-Driven PM2.5 Exposure Prediction in Wildfire-Prone Regions and Respiratory Disease Mortality Risk Assessment</t>
  </si>
  <si>
    <t>wildfires; machine learning; air pollution; artificial intelligence; chronic obstructive pulmonary disease (COPD); tracheal; bronchus; lung cancer (TB&amp;L)</t>
  </si>
  <si>
    <t>MACHINE</t>
  </si>
  <si>
    <t>Wildfires generate substantial smoke containing fine particulate matter (PM2.5) that adversely impacts health. This study develops machine learning models integrating pre-wildfire factors like weather and fuel conditions with post-wildfire health impacts to provide a holistic understanding of smoke exposure risks. Various data-driven models including Support Vector Regression, Multi-layer Perceptron, and three tree-based ensemble algorithms (Random Forest, Extreme Gradient Boosting (XGBoost), and Natural Gradient Boosting (NGBoost)) are evaluated in this study. Ensemble models effectively predict PM2.5 levels based on temperature, humidity, wind, and fuel moisture, revealing the significant roles of radiation, temperature, and moisture. Further modelling links smoke exposure to deaths from chronic obstructive pulmonary disease (COPD) and lung cancer using age, sex, and pollution type as inputs. Ambient pollution is the primary driver of COPD mortality, while age has a greater influence on lung cancer deaths. This research advances atmospheric and health impact understanding, aiding forest fire prevention and management.</t>
  </si>
  <si>
    <t>Rosenberg, A; Hoshiko, S; Buckman, JR; Yeomans, KR; Hayashi, T; Kramer, SJ; Huang, SH; French, NHF; Rappold, AG</t>
  </si>
  <si>
    <t>Health Impacts of Future Prescribed Fire Smoke: Considerations From an Exposure Scenario in California</t>
  </si>
  <si>
    <t>EARTHS FUTURE</t>
  </si>
  <si>
    <t>wildfire smoke; prescribed fire; PM2.5; wildland fire; smoke pollution; air quality</t>
  </si>
  <si>
    <t>ANTHROPOGENIC CLIMATE-CHANGE; AIR-POLLUTION; WESTERN US; WILDFIRE; PM2.5</t>
  </si>
  <si>
    <t>In response to increasing wildfire risks, California plans to expand the use of prescribed fire. We characterized the anticipated change in health impacts from exposure to smoke under a future fire-management scenario relative to a historical period (2008-2016). Using dispersion models, we estimated daily fine particulate matter (PM2.5) emissions from hypothetical future prescribed fires on 500,000-acres classified as high priority. To evaluate health impacts, we calculated excess daily cardiorespiratory emergency department visit rates attributed to all-source PM2.5, distinguishing the portion of the burden attributed to prescribed fire. The total burden was differentiated by fire type and by smoke strata-specific days to calculate strata-specific burden rates, which were then applied to estimate the burden in the future scenario. This analysis suggests that the exposure to prescribed fire smoke, measured as the number of persons exposed per year, would be 15 times greater in the future. However, these exposures were associated with lower concentrations compared to the historical period. The increased number of exposure days led to an overall increase in the future health burden. Specifically, the northern, central, and southern regions experienced the largest burden increase. This study introduces an approach that integrates spatiotemporal exposure differences, baseline morbidity, and population size to assess the impacts of prescribed fire under a future scenario. The findings highlight the need to consider both the level and frequency of exposure to guide strategies to safeguard public health as well as aid forest management agencies in making informed decisions to protect communities while mitigating wildfire risks. Prescribed fire is a forest management strategy for reducing the risks of wildfires. While some fires are ecologically beneficial, smoke from fires is a major source of airborne particle pollution, which is harmful to human health. This study examined the change in health impacts resulting from an expected increase in the use of prescribed fire within California's high-priority wildfire risk areas. We used daily counts of cardiorespiratory emergency department visits attributed to air quality combined with model-generated measures of smoke pollution to estimate health impacts. We compared exposures and the associated health burden on days impacted by wildfire or prescribed fire smoke in the past to the impacts in the hypothetical future scenario with increased prescribed fire. Projections of future prescribed burning in high priority areas suggest that more people would experience smoke more often, although exposures would occur at lower concentrations. With more frequent lower-level exposure days near populated areas, the health burden would increase relative to past prescribed fire. Understanding the potential impact of prescribed fire may simultaneously help protect public health and increase safety from wildfires.</t>
  </si>
  <si>
    <t>Zhu, QY; Zhang, DL; Wang, WH; D'Souza, RR; Zhang, HS; Yang, BY; Steenland, K; Scovronick, N; Ebelt, S; Chang, HH; Liu, Y</t>
  </si>
  <si>
    <t>Wildfires are associated with increased emergency department visits for anxiety disorders in the western United States</t>
  </si>
  <si>
    <t>NATURE MENTAL HEALTH</t>
  </si>
  <si>
    <t>DEPRESSION; CALIFORNIA; EXPOSURE; IMPACTS; AIR</t>
  </si>
  <si>
    <t>Psychiatry</t>
  </si>
  <si>
    <t>As wildfires increasingly impact the global economy and public health, understanding their effects is crucial. Particularly, the relationship between wildfires and anxiety disorders remains unclear. In this study, we explore this association by analyzing 1,897,865 emergency department visits for anxiety disorders in the western United States. We examined records from 2007 to 2018, using a case-crossover design and conditional logistic regression to assess the impact of wildfire-related exposures on these visits. Here we show that exposure to wildfire smoke PM2.5 is positively linked with emergency department visits for anxiety disorders. This effect is more pronounced in women and girls and in older adults, highlighting their vulnerability. Notably, major smoke events (smoke PM2.5 contributed &gt;= 75% of the total PM2.5) significantly amplify this risk. These findings underscore the psychological impacts of wildfires and their smoke, suggesting a need for targeted disaster risk reduction and climate risk management strategies, especially for vulnerable groups such as older adults and women. Our results call for increased climate awareness and tailored risk communication to mitigate these emerging health challenges.</t>
  </si>
  <si>
    <t>Maya, S; Thakur, N; Benmarhnia, T; Weiser, SD; Kahn, JG</t>
  </si>
  <si>
    <t>The Impact of Wildfire Smoke on Asthma Control in California: A Microsimulation Approach</t>
  </si>
  <si>
    <t>HEALTH IMPACTS; COST; POPULATION; VALIDITY; RISK; AGE</t>
  </si>
  <si>
    <t>Wildfire smoke exposure leads to poorer health among those with pre-existing conditions such as asthma. Particulate matter in wildfire smoke can worsen asthma control, cause acute exacerbations, and increase health resource utilization (HRU) and costs. Research to date has been retrospective with few opportunities to project changes in underlying asthma control and HRU given exposure to wildfire smoke. Using a microsimulation of 5,000 Californians with asthma, we calculated changes in asthma control distribution, risk of exacerbation, and HRU and cost outcomes in the 16 weeks during and after a wildfire. The model was calibrated against empirical values on asthma control distribution and increased HRU after exposure to wildfire smoke. Without smoke exposure, 48% of the cohort exhibited complete or well control of asthma, and 8% required acute healthcare per cycle. Following two consecutive weeks of wildfire smoke, complete or well control of asthma fell to 27%, with an additional 4% HRU. This corresponds to total additional $601,250 in all-cause medical costs and eight fewer quality-adjusted life years over 16 weeks of model time. Our model found increased asthma health and cost burden due to wildfire smoke that were aligned with empirical evidence from a historic wildfire event. This study establishes a framework for a more nuanced understanding of asthma impacts from wildfire smoke that can help inform the development of public health policies to mitigate harm and promote resilience among asthma patients in the face of climate change. This study looks at how wildfire smoke affects people with asthma in California. It is known that wildfire smoke exposure can make asthma worse, but we wanted to understand exactly how it impacts asthma control, the risk of asthma attacks, and the need for asthma-related healthcare. We created a computer simulation with 5,000 virtual Californians who have asthma and looked at what happened to them during and after a wildfire, compared to if there was no wildfire. Without wildfire smoke, about half of the virtual group had good control over their asthma, and only a small percentage needed to go to the hospital for asthma-related reasons. During and after the wildfire, the number of people with good asthma control dropped as people were exposed to smoke, and more people needed to use healthcare services. This increase in asthma problems led to higher medical costs and reduced quality of life for the group exposed to wildfire smoke. Our findings were in line with observations made after a well-documented past wildfire in California. This and similar computer models can help policymakers make better decisions to protect people with asthma from the effects of wildfire smoke. Exposure to wildfire smoke worsens asthma outcomes, but microsimulation methods have rarely been applied to describe this association Our novel microsimulation model accurately reflects altered distribution of asthma control and healthcare use after a wildfire Such a model can be valuable for informing and evaluating preventive measures to reduce to burden of wildfire smoke on asthma</t>
  </si>
  <si>
    <t>Borchers-Arriagada, N; Schulz-Antipa, P; Conte-Grand, M</t>
  </si>
  <si>
    <t>Future fire-smoke PM2.5 health burden under climate change in Paraguay</t>
  </si>
  <si>
    <t>Wildfires; Fine particulate matter; Air pollution; Health costs; Paraguay; Climate change; Machine learning</t>
  </si>
  <si>
    <t>WILDFIRE SMOKE; IMPACTS</t>
  </si>
  <si>
    <t>Recent years have seen a rise in wildfire and extreme weather activity across the globe, which is projected to keep increasing with climate-induced conditions. Air pollution, especially fine particulate matter (PM2.5) concentration, is heavily affected by PM2.5 emissions from wildfire activity. Paraguay has been historically suffering from fires, with an average of 2.3 million hectares burnt per year during the 2003-2021 period. Annual PM2.5 concentration in Paraguay is 13.2 mu g/m3, more than double the recommended by the WHO. We estimate that, historically, almost 40 % of fine air particulates can be attributed to fires. Using a random forest algorithm, we estimate future fire activity and fire related PM2.5 under different climate change scenarios. With global warming, we calculate that fire activity could increase by up to 120 % by 2100. Annual fire smoke PM2.5 from fires is expected to increase by 7.7 mu g/m3 by 2100. Under these conditions, Paraguay is expected to suffer an increase in 3500 deaths per year attributable to fire smoke PM2.5 by 2100. We estimate the economic cost of fire smoke-related mortality by 2100 at US $ 5600 million, equivalent to 2.6 % of Paraguay's GDP, excluding other health- and productivity-related impacts on society.</t>
  </si>
  <si>
    <t>Mangual, KPS; Ferree, S; Murase, JE; Kourosh, AS</t>
  </si>
  <si>
    <t>The Burden of Air Pollution on Skin Health: a Brief Report and Call to Action</t>
  </si>
  <si>
    <t>DERMATOLOGY AND THERAPY</t>
  </si>
  <si>
    <t>Air pollution; Atopic dermatitis; Carbon monoxide; Climate change; Eczema; Public health; Skin health; Vulnerable populations; Wildfires</t>
  </si>
  <si>
    <t>BARRIER; CLIMATE; ECZEMA; PXR</t>
  </si>
  <si>
    <t>Dermatology</t>
  </si>
  <si>
    <t>IntroductionAir pollution in North America has intensified due to wildfires in recent years. In 2023, the wildfires in the Canadian province of Quebec caused a southward spread of pollutants, negatively affecting air quality and thereby aggravating certain health conditions in northeastern USA. This study examines the impact of air pollution on atopic dermatitis (AD) and skin health and how wildfires can exacerbate the burden of disease.MethodsCarbon monoxide levels measured by the U.S. Environmental Protection Agency (EPA) in the Boston region during the months following the Canadian wildfires of 2023 were collected from the U.S. EPA Outdoor Air Quality webpage. Patient records on dermatology clinic visits for dermatitis and eczema at the Mass General Brigham (MGB) hospital system, 300 miles from the wildfires, were examined, and the data compared with data from the corresponding months in 2019-2022 for historical control. No individual patient data were collected.ResultsA notable rise and atypical summer peak in carbon monoxide (CO) levels in the Boston region during 2023 correlated with a spike in AD, dermatitis, and eczema-related dermatology clinic visits within the MGB hospital system, as compared with the prior 4 years.ConclusionThe synchronized atypical peaks of CO levels and AD-related visits during the summer of 2023 highlight the potential impact of acute air pollution events such as wildfires on air quality and the consequences for skin health. Air pollution, exacerbated by wildfires, can damage the skin through the smoke and chemicals utilized for extinguishing fires, which contain multiple potential allergens and irritants to the skin, such as CO, particulate matter (PM2.5), and ammonium phosphates, triggering airway and skin inflammation and flares of AD. This issue disproportionately affects vulnerable populations, including low-income communities and the geriatric and pediatric populations. Healthcare professionals and government agencies must work together to improve air quality and purification policies and initiatives to lower the burden of skin disease, especially for vulnerable communities.</t>
  </si>
  <si>
    <t>Schwarz, L; Nguyen, A; Schwarz, E; Castillo, EM; Brennan, JJ; Chan, TC; Aguilera, R; Gershunov, A; Benmarhnia, T</t>
  </si>
  <si>
    <t>Effects of fine particulate matter from wildfire and non-wildfire sources on emergency-department visits in people who were housed and unhoused in San Diego County (CA, USA) during 2012-20: atime-stratified case-crossover study</t>
  </si>
  <si>
    <t>LANCET PLANETARY HEALTH</t>
  </si>
  <si>
    <t>WILDLAND FIRE SMOKE; SOUTHERN CALIFORNIA; HEALTH IMPACTS; ANA WINDS; EXPOSURE</t>
  </si>
  <si>
    <t>Background Being unhoused can increase vulnerability to adverse health effects due to air pollution. We aimed to quantify changes in emergency-department visits during and after exposure to wildfire-specific and non-wildfire particulate matter 25 mu m or less in diameter (PM25) in San Diego County (CA, USA) in people who were both unhoused and housed. Methods For this time-stratified case-crossover study, we used data on exposure to wildfire-specific PM 25 in California and individual-level data for people admitted to the emergency departments of two hospitals (UC San Diego Health emergency departments at La Jolla and Hillcrest, San Diego) in San Diego County between July 1, 2012, and Dec 31, 2020. People with a postcode outside of San Diego County were excluded. Demographic information was age group, race or ethnicity, and transport to the emergency department. Wildfire-specific PM 25 concentration at the postcode level was previously estimated using an ensemble model that combined multiple machine-learning algorithms and explanatory variables obtained via data on 24-h mean PM 25 concentrations from the US Environmental Protection Agency Air Quality System. Conditional logistic regression models were applied, adjusting for specific humidity, wind velocity, and maximum temperature extracted from the US Gridded Surface Meteorological Dataset. Housing status was established by registration staff or triage nurses on arrival at the emergency department. For people who were unhoused, exposure was defined based on the weighted mean PM 25 concentration at the city level proportional to the number of people who were unhoused in each specific city across urban centres in San Diego County. For people who were housed, we used residence postcode to measure exposure. We assessed the association between PM 25 from wildfire and non-wildfire sources and emergency-department visits in people who were housed and unhoused. Findings There were 587 562 emergency-department visits at the two hospitals, 76 407 (130%) of which were by people who were unhoused. People who were housed had a higher exposure to overall PM 25 (24-h mean over the study period of 9904 mg/m3, SD 3445) and non-wildfire PM 25 (9663, 2977) than people who were unhoused (9863, 3221; 9557, 2599). However, people who were unhoused had a higher exposure to wildfire-specific PM 25 (0305, 1797) than people who were housed (0240, 1690). Overall PM 25 exposure was associated with increased odds of emergency-department visits for both people who were housed (odds ratio 1003, 95% CI 1001-1004 per 1 mu g/m3 PM 25 for 0-3 days after exposure) and people who were unhoused (1004, 1000-1008 for 0-3 days after exposure). We found that non-wildfire PM 25 was associated with emergency-department visits among people who were housed (1003, 1002-1005 for 0-3 days after exposure) and wildfire-specific PM 25 was associated with emergency-department visits in people who were unhoused (1006, 1001-1011 for 0-3 days after exposure). Interpretation People who were unhoused in San Diego County were more likely to visit emergency departments after exposure to increased wildfire-specific PM25. As the intensity and frequency of wildfires increase, understanding risk factors for vulnerable populations, such as people who are unhoused, is crucial to develop effective adaptation strategies.</t>
  </si>
  <si>
    <t>Efimova, NV; Paramonov, VV; Fedorov, RK; Rukavishnikov, VS</t>
  </si>
  <si>
    <t>Using Geoinformation Services to Make Operational Decisions to Minimize Health Risks to Populations in Areas of Wildfires</t>
  </si>
  <si>
    <t>GEOGRAPHY AND NATURAL RESOURCES</t>
  </si>
  <si>
    <t>digital environment; spatial analysis; health risk; short-term exposure</t>
  </si>
  <si>
    <t>Geography</t>
  </si>
  <si>
    <t>The purpose of this study is to develop and test geoinformation services for making operational decisions aimed at reducing the health risk to the population when smoke from wildfires is exposed near populated areas and at a considerable distance. Processing services implement spatial analysis methods. The computational models are implemented on the JupyterHub interactive computing platform provided by the infrastructure. That technology was tested on the example of areas the Baikal region in the Republic of Buryatia during periods of significant smoke contamination of the territory associated with local mass fires and remote at 1000-2500 km. The assessment modeling results are presented in the form of thematic interactive maps that change depending on the filtering of results by various criteria, graphs, and tables. A digital environment has been developed that allows one to quickly upload primary data, present it in various schemes, carry out calculations, and obtain information about harmful substances in the air. The calculation methodology is presented as a set of services and Jupyter documents. Visualization of the results of assessing the potential and realized risk in the form of multilayer maps makes it possible to quickly identify the areas of greatest danger. In the Baikal region, the probability of respiratory symptoms associated with air pollution was CO 27.4% and total matter particles 6.7% of the number of exposed.</t>
  </si>
  <si>
    <t>Jaiswal, S; Jalbert, I; Olsen, N; Burnett, A; Golebiowski, B</t>
  </si>
  <si>
    <t>Blinded by smoke: Wildfire smoke exposure and eye irritation in australian wildland firefighters</t>
  </si>
  <si>
    <t>OCULAR SURFACE</t>
  </si>
  <si>
    <t>Eye irritation; Firefighters; Protective eyewear; Smoke; Wildfire</t>
  </si>
  <si>
    <t>QUALITY-OF-LIFE; FIRE SMOKE; VULNERABILITY; SYMPTOMS; BURNS</t>
  </si>
  <si>
    <t>Ophthalmology</t>
  </si>
  <si>
    <t>Purpose: Wildfire occurrence is increasing worldwide, putting firefighters and general public at increased risk of eye injuries from smoke exposure. This study explored ocular symptoms and use of protective eyewear amongst wildland firefighters in Australia. Methods: Australian wildland firefighters were invited to complete an online survey about the occurrence of eye irritation, use of protective eyewear and behaviours associated with occupational smoke exposure. Responses were analysed using logistic regression and qualitative inductive content analysis. Results: 338 wildland firefighters completed the survey. Eye irritation was reported by 90 % of firefighters at least sometimes during work and by 70 % after work. Frequency of eye irritation was greater amongst females than males (OR 2.01, CI 1.22-3.31, p &lt; 0.001). Protective eyewear was used often or always by 67% of firefighters on the fireground, however 55 % had to remove their protective eyewear due to sweat, fogging or another reason. Goggles were more likely to be removed compared to sunglasses and safety glasses (OR 4.28, CI 2.75-6.68, p &lt; 0.001). Firefighters reported that, at times smoke exposure necessitated eye closure and impaired vision on the fireground. Firefighters also reported that protective eyewear helped to reduce eye symptoms, but its consistent use on the fireground was difficult. The severity and recovery from eye symptoms varied between participants. Conclusion: Australian wildland firefighters frequently experience eye irritation from smoke exposure, and this can affect operational capabilities. These findings can support the development of evidence-based strategies to help protect and aid recovery of the eye surface following smoke exposure.</t>
  </si>
  <si>
    <t>Chen, C; Schwarz, L; Rosenthal, N; Marlier, ME; Benmarhnia, T</t>
  </si>
  <si>
    <t>Exploring spatial heterogeneity in synergistic effects of compound climate hazards: Extreme heat and wildfire smoke on cardiorespiratory hospitalizations in California</t>
  </si>
  <si>
    <t>SCIENCE ADVANCES</t>
  </si>
  <si>
    <t>CASE-CROSSOVER DESIGN; AIR-POLLUTION; PARTICULATE MATTER; MORTALITY; HEALTH; TEMPERATURE; RISK; EXPOSURE; IMPACTS; VULNERABILITY</t>
  </si>
  <si>
    <t>Extreme heat and wildfire smoke events are increasingly co-occurring in the context of climate change, especially in California. Extreme heat and wildfire smoke may have synergistic effects on population health that vary over space. We leveraged high-resolution satellite and monitoring data to quantify spatially varying compound exposures to extreme heat and wildfire smoke in California (2006-2019) at ZIP Code Tabulation Area (ZCTA) level. We found synergistic effects between extreme heat and wildfire smoke on daily cardiorespiratory hospitalizations at the state level. We also found spatial heterogeneity in such synergistic effects across ZCTAs. Communities with lower education attainment, lower health insurance coverage, lower income, lower proportion of automobile ownership, lower tree canopy coverage, higher population density, and higher proportions of racial/ethnic minorities experienced higher synergistic effects. This study highlights the need to incorporate compound hazards and environmental justice considerations into evidence-based policy development to protect populations from increasingly prevalent compound hazards.</t>
  </si>
  <si>
    <t>Chen, GB; Guo, YM; Yue, X; Xu, RB; Yu, WH; Ye, TT; Tong, SL; Gasparrini, A; Bell, ML; Armstrong, B; Schwartz, J; Jaakkola, JJK; Lavigne, E; Saldiva, PHN; Kan, HD; Royé, D; Urban, A; Vicedo-Cabrera, AM; Tobias, A; Forsberg, B; Sera, F; Lei, YD; Abramson, MJ; Li, SS</t>
  </si>
  <si>
    <t>All-cause, cardiovascular, and respiratory mortality and wildfire-related ozone: a multicountry two-stage time series analysis</t>
  </si>
  <si>
    <t>FINE PARTICULATE MATTER; AIR-POLLUTION; HEALTH; EXPOSURE; SMOKE; TRANSPORT; VISITS; IMPACT; RANGE; CHINA</t>
  </si>
  <si>
    <t>Background Wildfire activity is an important source of tropospheric ozone (O-3) pollution. However, no study to date has systematically examined the associations of wildfire-related O-3 exposure with mortality globally. Methods We did a multicountry two-stage time series analysis. From the Multi-City Multi-Country (MCC) Collaborative Research Network, data on daily all-cause, cardiovascular, and respiratory deaths were obtained from 749 locations in 43 countries or areas, representing overlapping periods from Jan 1, 2000, to Dec 31, 2016. We estimated the daily concentration of wildfire-related O-3 in study locations using a chemical transport model, and then calibrated and downscaled O-3 estimates to a resolution of 025 degrees x 025 degrees (approximately 28 km 2 at the equator). Using a random-effects meta-analysis, we examined the associations of short-term wildfire-related O-3 exposure (lag period of 0-2 days) with daily mortality, first at the location level and then pooled at the country, regional, and global levels. Annual excess mortality fraction in each location attributable to wildfire-related O-3 was calculated with pooled effect estimates and used to obtain excess mortality fractions at country, regional, and global levels. Findings Between 2000 and 2016, the highest maximum daily wildfire-related O-3 concentrations (&gt;= 30 mu g/m (3) ) were observed in locations in South America, central America, and southeastern Asia, and the country of South Africa. Across all locations, an increase of 1 mu g/m (3) in the mean daily concentration of wildfire-related O-3 during lag 0-2 days was associated with increases of 055% (95% CI 029 to 080) in daily all-cause mortality, 044% (-010 to 099) in daily cardiovascular mortality, and 082% (018 to 147) in daily respiratory mortality. The associations of daily mortality rates with wildfire-related O-3 exposure showed substantial geographical heterogeneity at the country and regional levels. Across all locations, estimated annual excess mortality fractions of 058% (95% CI 031 to 085; 31 606 deaths [95% CI 17 038 to 46 027]) for all-cause mortality, 041% (-010 to 091; 5249 [-1244 to 11 620]) for cardiovascular mortality, and 086% (018 to 151; 4657 [999 to 8206]) for respiratory mortality were attributable to short-term exposure to wildfire-related O-3 . Interpretation In this study, we observed an increase in all-cause and respiratory mortality associated with short-term wildfire-related O-3 exposure. Effective risk and smoke management strategies should be implemented to protect the public from the impacts of wildfires. Copyright (c) 2024 The Author(s). Published by Elsevier Ltd. This is an Open Access article under the CC BY 4.0 license.</t>
  </si>
  <si>
    <t>Maldarelli, ME; Song, HYJ; Brown, CH; Situt, M; Reilly, C; Mahurkar, AA; Felix, V; Crabtree, J; Ellicott, E; Jurczak, MO; Pant, B; Gumel, A; Zafari, Z; D'Souza, W; Sapkota, A; Maron, BA</t>
  </si>
  <si>
    <t>Polluted Air from Canadian Wildfires and Cardiopulmonary Disease in the Eastern US</t>
  </si>
  <si>
    <t>JAMA NETWORK OPEN</t>
  </si>
  <si>
    <t>HEALTH IMPACTS; SMOKE; EXPOSURE</t>
  </si>
  <si>
    <t>Medicine, General &amp; Internal</t>
  </si>
  <si>
    <t>ImportanceIntense wildfires affecting residential populations are increasingly frequent. However, the adverse cardiopulmonary consequences to patients from remote wildfire smoke exposure is uncertain. ObjectiveTo investigate the association between wildfire smoke originating in Western Canadian provinces with cardiopulmonary disease burden in sociodemographically heterogenous populations in the Eastern US. Design, Setting, and ParticipantsThis case-only study used International Statistical Classification of Diseases and Related Health Problems, Tenth Revision (ICD-10) codes for cardiopulmonary diseases extracted from the University of Maryland Medical System in June 2023 vs June 2018 and June 2019. Data were analyzed from September 2023 to September 2024. ExposuresHigh air pollution episodes where the concentration of particulate matter with aerodynamic diameter below 2.5 mu m (PM2.5) exceeded the toxic National Ambient Air Quality Standard (35 mu g/m3) (referred to as hotspot days) on contiguous days. Main Outcomes and MeasuresThe number of patients with inpatient, ambulatory, and emergency department clinical encounters during assigned hotspot days in June 2023 compared with matching days in June of control years. Adjustments for covariates for comparisons between groups were made with chi 2 tests and multivariable logistic regression. ResultsStatewide air quality analysis identified June 6-8 and 28-30 as 6 hotspot days with an increase in PM2.5 by 9.4-fold and 7.4-fold, respectively, in Baltimore City compared with all other days in 2023. After adjusting for calendar days across years, the cohort included 2339 cardiopulmonary clinical encounters in June 2023 (mean [SD] age, 68 [15] years; 1098 female [46.9%]; 710 Black [30.4%], 1528 White [65.3%]) and 3609 encounters in June 2018-2019 (mean [SD] age, 65 [15] years; 1690 female [46.8%]; 1181 Black [32.7%], 2269 White [62.9%]). The proportion of clinical encounters occurring during hotspot days in June 2023 was 588 of 2339 days (25.1%) vs 806 of 3609 days (22.3%) in control years (chi 2 = 6.07; P = .01), with an adjusted odds ratio (aOR) of 1.18 (95% CI, 1.03-1.34; P = .02). Restricting this analysis to cardiac diseases, there was a 20% increase in adjusted odds for a clinical encounter (aOR, 1.20; 95% CI, 1.01-1.42; P = .04). Patients with cardiopulmonary encounters on hotspot days had greater socioeconomic advantage vs control years by ADI score (mean [SD] score, 39.1 [21.1] vs 41.0 [23.7]; P = .05). Conclusions and RelevanceIn this case-only study of a large medical system, we identified an increased cardiopulmonary disease burden for residents of Maryland that was likely associated with contemporaneous wildfire smoke-based infiltration of polluted or toxic air originating from Western Canada up to 2100 miles remotely.</t>
  </si>
  <si>
    <t>Mitchell, AL; Chapman, K; Farris, K; Naderi, P; Hansen, A</t>
  </si>
  <si>
    <t>A case-crossover analysis to quantify the impact of wildfire smoke on hospital respiratory admissions in the Rogue Valley, Oregon</t>
  </si>
  <si>
    <t>PUBLIC HEALTH IN PRACTICE</t>
  </si>
  <si>
    <t>Rogue valley OregonWildfires PM(2.5)Air qualityRespiratory healthHospital planning</t>
  </si>
  <si>
    <t>AIR-POLLUTION; FIRE SMOKE; MODELS</t>
  </si>
  <si>
    <t>Background: With the increasing prevalence of wildfire smoke in the Pacific Northwest, it is important to quantify health impacts to plan for adequate health services. The Rogue Valley region has historically faced some of the greatest wildfire threats in the state. Health impacts from smoke have been estimated in several recent studies that include Oregon's Rogue Valley, but the results between studies are conflicting. Objective: The objective is to critically examine impacts of wildfire smoke on health in the Rogue Valley area and translate the results to support hospital staffing decisions. Study design: The study adopts a case-crossover approach. Methods: Apply a conditional Poisson regression to analyze time stratified counts while controlling for mean temperature. Results: Every 10 mu /m3 increase in PM2.5 is associated with a 2% increase in same-day hospital or emergency room admission rates for respiratory conditions during fire season after adjusting for temperature and time (OR = 1.020; 95% CI: 1.004-1.034); a 10 mu /m3 increase in PM2.5 lasting nine days is associated with a 4% increase in admission rates (OR = 1.041; 95% CI: 1.018-1.065). In other words, for each 10 mu /m3 single day increase in pollution from smoke, an additional 0.26 respiratory patients would be expected in the area hospitals. With a single day increase from 10 mu /m3 to 150 mu /m3, hospitals could expect an additional four patients. Conclusions: There are small but significant health impacts in the Rogue Valley. These impacts are smaller than some statewide estimates. We need further research to understand these differences.</t>
  </si>
  <si>
    <t>Kornfield, M; Rubin, E; Parker, P; Garg, B; O'Leary, T; Phillips, S; Madding, R; Baldwin, M; Amato, P; Lee, D; Wu, DN; Krieg, S</t>
  </si>
  <si>
    <t>Unhealthy air quality secondary to wildfires is associated with lower blastocyst yield</t>
  </si>
  <si>
    <t>FERTILITY AND STERILITY</t>
  </si>
  <si>
    <t>Pollution; wild fire; fertility; embryo; IVF</t>
  </si>
  <si>
    <t>POLLUTION; EXPOSURE; INFERTILITY; HEALTH</t>
  </si>
  <si>
    <t>Obstetrics &amp; Gynecology; Reproductive Biology</t>
  </si>
  <si>
    <t>Objective: To study the impact of unhealthy air quality from the 2020 Oregon wildfires on outcomes for patients undergoing in vitro fertilization (IVF) treatment. Design: A retrospective cohort study. Setting:A university-based fertility clinic. Patients: Subjects were undergoing IVF treatment from the 6 weeks preceding the wildfires through a 10-day exposure period. Cohorts were classified on the basis of whether subjects experienced patient and/or laboratory exposure to unhealthy air quality. Patient exposure was defined as at least 4 days of ovarian stimulation overlapping with the exposure, and laboratory exposure was defined as at least 2 days of IVF treatment and embryogenesis overlapping with the exposure. The unexposed cohort consisted of remaining subjects without defined exposure, with cycles in the 6 weeks preceding the wildfires. As some subjects had dual exposure and appeared in both patient and laboratory exposure cohorts, each cohort was separately compared with the unexposed control cohort. Intervention: A 10-day period of unhealthy air quality caused by smoke plumes from a wildfire event. Main Outcome Measures: The primary outcome was the blastulation rate. Secondary outcomes included fertilization rate, number of blastocysts obtained, and cycles with no blastocysts frozen or transferred. Results: Sixty-nine subjects underwent ovarian stimulation and IVF treatment during the 6 weeks preceding the wildfires through the 10-day period of unhealthy air quality. Of these, 15 patients were in the laboratory exposure cohort, 16 were in the patient exposure cohort, and 44 were unexposed. Six subjects appeared in both laboratory and patient exposure cohorts. Although neither exposure cohort had significantly decreased blastulation rate compared with the unexposed, the median number of blastocysts obtained was significantly lower in the laboratory exposure cohort than the unexposed group (2 [range 0-14] vs. 4.5 [range 0-21], respectively). The laboratory exposure cohort had significantly more cycles with no blastocysts obtained (3/15 [20%] vs. 1/44 [2%]). There were no significant differences in IVF treatment outcomes between patient exposure and unexposed cohorts. These findings persisted after controlling for age. There were no significant differences in pregnancy outcomes observed after embryo transfer between the exposure group and the unexposed group. Conclusion: For a cohort of patients undergoing IVF treatment, an acute episode of outside wildfire smoke exposure during fertilization and embryogenesis was associated with decreased blastocyst yield.</t>
  </si>
  <si>
    <t>Esteves, F; Slezakova, K; Madureira, J; Vaz, J; Fernandes, A; Morais, S; Pereira, MD; Teixeira, JP; Costa, S</t>
  </si>
  <si>
    <t>Firefighters' Occupational Exposure in Preparation for Wildfire Season: Addressing Biological Impact</t>
  </si>
  <si>
    <t>TOXICS</t>
  </si>
  <si>
    <t>firefighters; non-invasive samples; biomonitoring; buccal micronucleus assay; particulate matter; inhaled dose</t>
  </si>
  <si>
    <t>PERIPHERAL-BLOOD LYMPHOCYTES; MICRONUCLEUS CYTOME ASSAY; PARTICULATE MATTER; AIR-POLLUTION; LIFE-STYLE; STATION ATTENDANTS; EXFOLIATED CELLS; ORAL-MUCOSA; FIRE SMOKE; WORKERS</t>
  </si>
  <si>
    <t>The characterization of wildland firefighters' occupational exposure must consider different exposures, including those at the fire station. The present study aimed to characterize the occupational exposure of 172 Northern Portuguese wildland firefighters in fire stations during the pre-wildfire season of 2021. The biological impact of estimated inhaled doses of PM10 and PM2.5 (indoor/outdoor) was accessed through a buccal micronucleus cytome (BMCyt) assay in exfoliated buccal cells of a subgroup of 80 firefighters. No significant association was found between estimated inhaled doses of PM10 and PM2.5 (mean 1.73 +/- 0.43 mu g kg-1 and 0.53 +/- 0.21 mu g kg-1, respectively) and biological endpoints. However, increased frequencies of cell death parameters were found among subjects of the Permanent Intervention Teams (full-time firefighters). The intake of nutritional supplements was associated with a significant decrease in micronucleus frequencies (i.e., DNA damage or chromosome breakage). In addition, our findings showed a significantly increased frequency of cell death endpoints (i.e., nuclear fragmentation) with coffee consumption, while daily consumption of vegetables significantly decreased it (i.e., nuclear shrinkage). Our results provide data on the occupational exposure of wildland firefighters while working in fire stations during the pre-wildfire season, providing the essential baseline for further studies throughout the wildfire season.</t>
  </si>
  <si>
    <t>NATURE COMMUNICATIONS</t>
  </si>
  <si>
    <t>Paiva, AM; Barros, B; Oliveira, M; Alves, S; Esteves, F; Fernandes, A; Vaz, J; Slezáková, K; Teixeira, JP; Costa, S; Morais, S</t>
  </si>
  <si>
    <t>Biomonitoring of polycyclic aromatic hydrocarbons exposure and short-time health effects in wildland firefighters during real-life fire events</t>
  </si>
  <si>
    <t>Occupational exposure; Human biomonitoring; Wildfire emissions; PAH; Tobacco consumption; White blood cells count</t>
  </si>
  <si>
    <t>SMOKE EXPOSURE; ALLERGIC INFLAMMATION; OCCUPATIONAL-EXPOSURE; WOOD SMOKE; BIOMARKERS; PAHS; 1-HYDROXYPYRENE; INSTRUCTORS; METABOLITES; PULMONARY</t>
  </si>
  <si>
    <t>Human biomonitoring data retrieved from real -life wildland firefighting in Europe and, also, worldwide are scarce. Thus, in this study, 176 Portuguese firefighters were biomonitored pre- and post- unsimulated wildfire combating (average:12-13 h; maximum: 55 h) to evaluate the impact on the levels of urinary polycyclic aromatic hydrocarbons hydroxylated metabolites (OHPAH; quantified by high-performance liquid chromatography with fluorescence detection) and the associated short-term health effects (symptoms, and total and differentiated white blood cells). Correlations between these variables and data retrieved from the self -reported questionnaires were also investigated. Firefighters were organized into four groups according to their exposure to wildfire emissions and their smoking habits: non-smoking non -exposed (NSNExp), non-smoking exposed (NSExp), smoking non -exposed (SNExp), and smoking and exposed (SExp). The most abundant metabolites were 1-hydroxynaphthalene and 1-hydroxyacenaphthene (1OHNaph + 1OHAce) (98-99 %), followed by 2-hydroxyfluorene (2OHFlu) (0.2-1.1 %), 1-hydroxyphenanthrene (1OHPhen) (0.2-0.4 %), and 1-hydroxypyrene (1OHPy) (0.1-0.2 %); urinary 3-hydroxybenzo(a)pyrene was not detected. The exposure to wildfire emissions significantly elevated the median concentrations of each individual and total OHPAH compounds in all groups, but this effect was more pronounced in non-smoking (1.7-4.2 times; p &lt; 0.006) than in smoking firefighters (1.3-1.6 times; p &lt; 0.03). The greatest discriminant of exposure to wildfire emissions was 1OHNaph + 1OHAce (increase of 4.2 times), while for tobacco smoke it was 2OHFlu (increase of 10 times). Post -exposure, white blood cells count significantly increased ranging from 1.4 (smokers, p = 0.025) to 3.7 -fold (non-smokers, p &lt; 0.001), which was accompanied by stronger significant correlations (0.480 &lt; r &lt; 0.882; p &lt; 0.04) between individual and total OHPAH and total white blood cells (and lymphocytes &gt; monocytes &gt; neutrophils in non-smokers), evidencing the impact of PAH released from wildfire on immune cells. This study identifies Portuguese firefighters with high levels of biomarkers of exposure to PAH and points out the importance of adopting biomonitoring schemes, that include multiple biomarkers of exposure and biomarkers of effect, and implementing mitigations strategies.</t>
  </si>
  <si>
    <t>Sklar, R; Picciotto, S; Meltzer, D; Goin, DE; Huang, SH; Lurmann, F; Noth, E; Pavlovic, N; Morello-Frosch, R; Padula, AM</t>
  </si>
  <si>
    <t>Exploring relationships between smoke exposure, housing characteristics, and preterm birth in California☆</t>
  </si>
  <si>
    <t>Air pollution; Wildfire smoke; Housing; Pregnancy; Preterm birth; Housing quality</t>
  </si>
  <si>
    <t>AIR-POLLUTION; PM2.5; PREGNANCY; WEIGHT; RISK; FIRE</t>
  </si>
  <si>
    <t>Pregnant people are vulnerable to air pollution exposure, including risk of preterm birth, low birth weight, and stillbirth. Understanding the infiltration of outdoor wildfire smoke into a residential space is critical for the accurate assessment of wildfire smoke exposure and associated health effects in pregnant people. Relying on ambient measurements of wildfire smoke alone can result in exposure misclassification. In this study, we examine the role of physical housing characteristics in the relationship between smoke exposure and preterm birth. In particular, we examine the effect of home size, year of construction, cooling type, and renovation status, as effect modifiers in the relationship between smoke exposure during pregnancy and preterm birth from 2007 to 2015 in California. To do this, we combined data on home characteristics from the California Tax Assessor, birth outcomes from the California birth records database, and the number of smoke days for each pregnancy from theNOAA (National Oceanic and Atmospheric Administration) Hazard Mapping System (HMS). We estimated the association between smoke day exposures and odds of preterm birth using logistic regression models and stratified by air basin and housing characteristics. Our findings reveal that cooling type and renovation status are key factors modifying the smoke exposure-preterm birth relationship. Notably, we found elevated associations for people living in unrenovated homes, those using evaporative cooling systems, and those using central air conditioning units. While we observed elevated odds of preterm birth associated with increasing smoke day exposure for residents of large and new homes, this effect does not significantly differ across home size and age quartiles. This study highlights the need to further examine the relative roles of housing characteristics as well as factors not measured here including behavioral factors, time spent outdoors, window use, and occupational exposures in driving adverse birth outcomes related to wildfire smoke exposure</t>
  </si>
  <si>
    <t>Landguth, EL; Knudson, J; Graham, J; Orr, A; Coyle, EA; Smith, P; Semmens, EO; Noonan, C</t>
  </si>
  <si>
    <t>Seasonal extreme temperatures and short-term fine particulate matter increases pediatric respiratory healthcare encounters in a sparsely populated region of the intermountain western United States</t>
  </si>
  <si>
    <t>ENVIRONMENTAL HEALTH</t>
  </si>
  <si>
    <t>Asthma; Case-crossover design; Distributed lag modeling; Environmental health; Hospital discharge data; Lag effects; Lower respiratory tract infections; Montana; PM2.5; Rural; Upper respiratory tract infections; Wildfire smoke; Woodfire smoke; Environmental public health; Fine particulate matter air pollution; Respiratory infections</t>
  </si>
  <si>
    <t>CASE-CROSSOVER ANALYSIS; AMBIENT AIR-POLLUTANTS; TIME-SERIES; CHRONIC-BRONCHITIS; PUBLIC-HEALTH; POLLUTION; ASTHMA; SMOKE; ASSOCIATION; EXPOSURE</t>
  </si>
  <si>
    <t>Background Western Montana, USA, experiences complex air pollution patterns with predominant exposure sources from summer wildfire smoke and winter wood smoke. In addition, climate change related temperatures events are becoming more extreme and expected to contribute to increases in hospital admissions for a range of health outcomes. Evaluating while accounting for these exposures (air pollution and temperature) that often occur simultaneously and may act synergistically on health is becoming more important. Methods We explored short-term exposure to air pollution on children's respiratory health outcomes and how extreme temperature or seasonal period modify the risk of air pollution-associated healthcare events. The main outcome measure included individual-based address located respiratory-related healthcare visits for three categories: asthma, lower respiratory tract infections (LRTI), and upper respiratory tract infections (URTI) across western Montana for ages 0-17 from 2017-2020. We used a time-stratified, case-crossover analysis with distributed lag models to identify sensitive exposure windows of fine particulate matter (PM2.5) lagged from 0 (same-day) to 14 prior-days modified by temperature or season. Results For asthma, increases of 1 mu g/m(3) in PM2.5 exposure 7-13 days prior a healthcare visit date was associated with increased odds that were magnified during median to colder temperatures and winter periods. For LRTIs, 1 mu g/m(3) increases during 12 days of cumulative PM2.5 with peak exposure periods between 6-12 days before healthcare visit date was associated with elevated LRTI events, also heightened in median to colder temperatures but no seasonal effect was observed. For URTIs, 1 unit increases during 13 days of cumulative PM2.5 with peak exposure periods between 4-10 days prior event date was associated with greater risk for URTIs visits that were intensified during median to hotter temperatures and spring to summer periods. Conclusions Delayed, short-term exposure increases of PM2.5 were associated with elevated odds of all three pediatric respiratory healthcare visit categories in a sparsely population area of the inter-Rocky Mountains, USA. PM2.5 in colder temperatures tended to increase instances of asthma and LRTIs, while PM2.5 during hotter periods increased URTIs.</t>
  </si>
  <si>
    <t>Connolly, R; Marlier, ME; Garcia-Gonzales, DA; Wilkins, J; Su, J; Bekker, C; Jung, J; Bonilla, E; Burnett, RT; Zhu, YF; Jerrett, M</t>
  </si>
  <si>
    <t>Mortality attributable to PM2.5 from wildland fires in California from 2008 to 2018</t>
  </si>
  <si>
    <t>FINE PARTICULATE MATTER; AIR-POLLUTION; WILDFIRE SMOKE; HEALTH IMPACTS; CLIMATE-CHANGE; TIME-SERIES; EXPOSURE; OZONE; MODEL; VULNERABILITY</t>
  </si>
  <si>
    <t>In California, wildfire risk and severity have grown substantially in the last several decades. Research has characterized extensive adverse health impacts from exposure to wildfire-attributable fine particulate matter (PM2.5), but few studies have quantified long-term outcomes, and none have used a wildfire-specific chronic dose-response mortality coefficient. Here, we quantified the mortality burden for PM2.5 exposure from California fires from 2008 to 2018 using Community Multiscale Air Quality modeling system wildland fire PM2.5 estimates. We used a concentration-response function for PM2.5, applying ZIP code-level mortality data and an estimated wildfire-specific dose-response coefficient accounting for the likely toxicity of wildfire smoke. We estimate a total of 52,480 to 55,710 premature deaths are attributable to wildland fire PM2.5 over the 11-year period with respect to two exposure scenarios, equating to an economic impact of $432 to $456 billion. These findings extend evidence on climate-related health impacts, suggesting that wildfires account for a greater mortality and economic burden than indicated by earlier studies.</t>
  </si>
  <si>
    <t>Cherry, N; Fedun, M; Galarneau, JM; Senkevics, D; Zadunayski, T</t>
  </si>
  <si>
    <t>Health effects of repeated exposures during wildland firefighting: a data-linkage cohort study from Alberta, Canada</t>
  </si>
  <si>
    <t>ANNALS OF WORK EXPOSURES AND HEALTH</t>
  </si>
  <si>
    <t>cancer; cohort; exposure; respiratory disease; wildland firefighter</t>
  </si>
  <si>
    <t>WOOD SMOKE EXPOSURE; RESPIRATORY SYMPTOMS; PULMONARY-FUNCTION; CANCER INCIDENCE; LUNG-FUNCTION; MORTALITY; WORKING; DISEASES</t>
  </si>
  <si>
    <t>Introduction: Very little is known about the effects on the health of work as a wildland firefighter over repeated fire seasons. In Alberta, where the fire season runs from 1 March to 31 October, the great majority of firefighters are hired seasonally. We examined whether there was a dose-response relationship between hours of firefighting and ill-health. Methods: A cohort was established linking employment records from Alberta Wildfire to administrative health data and cancer records. The employment records contained information on each deployment for all firefighters with employment from 1998 to 2022. Health records had details of diagnoses recorded at all physician consultations for the same period. Cancer records included diagnostic information for all confirmed cancers in the province. Exposure indices (hours worked) were related to health outcomes, with relative risk estimated by multilevel Poisson regression, using data lagged by 10 years for cancer outcomes. Results: Of 16,816 firefighters with employment records, 12,731 were matched on name, age, and sex in health records and were living in Alberta at the end of at least one fiscal year. One in three had only been employed for one fire season with 10% employed in 10 or more years. The overall mean cumulative exposure was 795 h with 568 h of sustained attack (SA). In multivariable regression, adjusted for age, sex, and inferred First Nation origin, the risk of chronic obstructive pulmonary disease (COPD) and pneumonia increased with hours of firefighting on foot and decreased with fighting less complex fires or holding a permanent appointment. Hours of firefighting in the year of health report were protective for cardiovascular disease (CVD) and mental ill-health but the risk of injury from external causes increased with firefighting hours. The risk of COPD, pneumonia, and asthma increased with cumulative hours over multiple fire seasons of SA firefighting and decreased with cumulative hours fighting less complex fires. Risks of CVD and mental ill-health were also positively related to cumulative hours of SA. No increase in risk was found with cancer incidence (all cancers, bladder cancer, lung cancer, skin: melanoma or nonmelanoma), with exposures unlagged or lagged by 10 years. Conclusion: Wildland firefighters were found to be at increased risk of lung conditions, both acutely in the year of firefighting and in subsequent years. No increased risk was found for cancer.</t>
  </si>
  <si>
    <t>You, DJ; Gorman, BM; Goshi, N; Hum, NR; Sebastian, A; Kim, YH; Enright, HA; Buchholz, BA</t>
  </si>
  <si>
    <t>Eucalyptus Wood Smoke Extract Elicits a Dose-Dependent Effect in Brain Endothelial Cells</t>
  </si>
  <si>
    <t>INTERNATIONAL JOURNAL OF MOLECULAR SCIENCES</t>
  </si>
  <si>
    <t>wildfire smoke; wood smoke; climate change; brain endothelial cells; HBMEC; hCMEC/D3; nuclear factor erythroid 2-related factor 2 (NRF2); aryl hydrocarbon receptor (AhR)</t>
  </si>
  <si>
    <t>PARTICULATE MATTER PM2.5; TIGHT JUNCTION PROTEIN; CIGARETTE-SMOKE; AIR-POLLUTION; IN-VIVO; EXPOSURE; BARRIER; INFLAMMATION; STRESS; MODEL</t>
  </si>
  <si>
    <t>Biochemistry &amp; Molecular Biology; Chemistry, Multidisciplinary</t>
  </si>
  <si>
    <t>The frequency, duration, and size of wildfires have been increasing, and the inhalation of wildfire smoke particles poses a significant risk to human health. Epidemiological studies have shown that wildfire smoke exposure is positively associated with cognitive and neurological dysfunctions. However, there is a significant gap in knowledge on how wildfire smoke exposure can affect the blood-brain barrier and cause molecular and cellular changes in the brain. Our study aims to determine the acute effect of smoldering eucalyptus wood smoke extract (WSE) on brain endothelial cells for potential neurotoxicity in vitro. Primary human brain microvascular endothelial cells (HBMEC) and immortalized human brain endothelial cell line (hCMEC/D3) were treated with different doses of WSE for 24 h. WSE treatment resulted in a dose-dependent increase in IL-8 in both HBMEC and hCMEC/D3. RNA-seq analyses showed a dose-dependent upregulation of genes involved in aryl hydrocarbon receptor (AhR) and nuclear factor erythroid 2-related factor 2 (NRF2) pathways and a decrease in tight junction markers in both HBMEC and hCMEC/D3. When comparing untreated controls, RNA-seq analyses showed that HBMEC have a higher expression of tight junction markers compared to hCMEC/D3. In summary, our study found that 24 h WSE treatment increases IL-8 production dose-dependently and decreases tight junction markers in both HBMEC and hCMEC/D3 that may be mediated through the AhR and NRF2 pathways, and HBMEC could be a better in vitro model for studying the effect of wood smoke extract or particles on brain endothelial cells.</t>
  </si>
  <si>
    <t>Park, CY; Takahashi, K; Fujimori, S; Phung, VLH; Li, F; Takakura, J; Hasegawa, T; Jansakoo, T</t>
  </si>
  <si>
    <t>Future fire-PM2.5 mortality varies depending on climate and socioeconomic changes</t>
  </si>
  <si>
    <t>wildfire; biomass burning; global inequality; air quality; health impact assessment</t>
  </si>
  <si>
    <t>FINE PARTICULATE MATTER; AMBIENT AIR-POLLUTION; SMOKE CONCENTRATIONS; GLOBAL MORTALITY; FIRE EMISSIONS; HEALTH; MODEL; RISK; EXPOSURE; IMPACTS</t>
  </si>
  <si>
    <t>Fire emits hazardous air pollutants, the most dominant of which is fine particulate matter of diameter &lt;= 2.5 mu m (PM2.5). PM2.5 is a great concern due to its adverse effects on public health. Previous studies have examined the health burden from fire-related PM2.5 for the historical period; however, future global mortality associated with fire-PM2.5, particularly under the coexisting impacts of climate and socioeconomic changes, is yet to be projected. Here, we estimated the mortality associated to fire-PM2.5 (fire-PM2.5 mortality) for the present period (2010s) and then projected the mortality for the 2050s and 2090s under 10 scenarios created by combining two Representative Concentration Pathways (RCP2.6 or 6.0) with five Shared Socioeconomic Pathways (SSP1-5). We used the Li-Park fire model in combination with a chemical transport model and health risk assessment to calculate fire-PM2.5 mortality. For the present period, the estimated fire-PM2.5 mortality was 135 180 (105 403-163 738), which is 1.7 deaths per 100 000 population globally. When countries were grouped by income, the fire-PM2.5 mortality rate was the highest in the high-income country group and lowest in the lowest-income country group. For the 2050s and 2090s, the fire-PM2.5 mortality rate was projected to decrease under most scenarios because of decreases in fire emissions and baseline mortality rate. However, a scenario of high population growth and low technical development (SSP3) together with severe global warming (RCP6.0) would lead to an increase in the fire-PM2.5 mortality rate in the 2090s, particularly in the highest-income countries, due to increased fire under drier and warmer weather conditions. Stratification of countries by gross domestic product indicated the need for adaptation efforts in the highest-income countries to avoid future increases of mortality associated with fire-PM2.5.</t>
  </si>
  <si>
    <t>Picciotto, S; Huang, SH; Lurmann, F; Pavlovic, N; Chang, SY; Mukherjee, A; Goin, DE; Sklar, R; Noth, E; Morello-Frosch, R; Padula, AM</t>
  </si>
  <si>
    <t>Pregnancy exposure to PM2.5 from wildland fire smoke and preterm birth in California</t>
  </si>
  <si>
    <t>ENVIRONMENT INTERNATIONAL</t>
  </si>
  <si>
    <t>Air pollution; Pregnancy; Preterm birth; Wildfire; Fire; PM2.5</t>
  </si>
  <si>
    <t>AIR-POLLUTION; MODEL PERFORMANCE; PHYSIOLOGY; RISK</t>
  </si>
  <si>
    <t>Background: Wildfires in the Western United States are a growing and significant source of air pollution that is eroding decades of progress in air pollution reduction. The effects on preterm birth during critical periods of pregnancy are unknown. Methods: We assessed associations between prenatal exposure to wildland fire smoke and risk of preterm birth (gestational age &lt; 37 weeks). We assigned smoke exposure to geocoded residence at birth for all live singleton births in California conceived 2007-2018, using weekly average concentrations of particulate matter &lt;= 2.5 m (PM2.5) attributable to wildland fires from United States Environmental Protection Agency's Community Multiscale Air Quality Model. Logistic regression yielded odds ratio (OR) for preterm birth in relation to increases in average exposure across the whole pregnancy, each trimester, and each week of pregnancy. Models adjusted for season, age, education, race/ethnicity, medical insurance, and smoking of the birthing parent. Results: For the 5,155,026 births, higher wildland fire PM2.5 exposure averaged across pregnancy, or any trimester, was associated with higher odds of preterm birth. The OR for an increase of 1 mu g/m(3) of average wildland fire PM2.5 during pregnancy was 1.013 (95 % CI:1.008,1.017). Wildland fire PM2.5 during most weeks of pregnancy was associated with higher odds. Strongest estimates were observed in weeks in the second and third trimesters. A 10 mu g/m(3) increase in average wildland fire PM25 in gestational week 23 was associated with OR = 1.034; 95 % CI: 1.019, 1.049 for preterm birth. Conclusions: Preterm birth is sensitive to wildland fire PM2.5; therefore, we must reduce exposure during pregnancy.</t>
  </si>
  <si>
    <t>Giles, LV; Thomson, CJ; Lesser, I; Brandenburg, JP</t>
  </si>
  <si>
    <t>Running Through the Haze: How Wildfire Smoke Affects Physical Activity and Mental Well-Being</t>
  </si>
  <si>
    <t>JOURNAL OF PHYSICAL ACTIVITY &amp; HEALTH</t>
  </si>
  <si>
    <t>air pollution; exercise; depression; anxiety; stress</t>
  </si>
  <si>
    <t>MATTER AIR-POLLUTION; PARTICULATE MATTER; EXERCISE; QUESTIONNAIRE; DEPRESSION; MOTIVATION; CHINA; TIME; RISK</t>
  </si>
  <si>
    <t>Background: With a warming climate, extreme wild fi res are more likely to occur, which may adversely affect air quality, physical activity (PA), and therefore, mental well-being. Methods: We assessed PA engagement and mental well-being between periods with and without wild fi re smoke, and whether there were associations between changes in PA behavior and mental well-being. Questionnaires on PA and mental well-being during a period of wild fi re smoke were completed by 348 participants; of these participants, 162 also completed a follow-up PA and mental well-being questionnaire during a period without wild fi re smoke. Data were analyzed using generalized/linear mixed models. Relationships between mental well-being and PA were analyzed using repeated-measures correlations. Results: Leisure-time walking, moderate PA, and vigorous PA were all significantly lower during periods of smoke compared to periods without smoke. Participants also experienced signi fi cantly higher symptoms of stress (11.63 [1.91] vs 10.20 [1.70], P = .039), anxiety (7.75 [2.24] vs 4.38 [1.32], P &lt; .001), and depression (9.67 [0.90] vs 7.27 [0.76], P &lt; .001) during the period of wild fi re smoke. Vigorous PA, the proportion of PA time spent outdoors, and the sum of PA during leisure time, were signi fi cantly negatively correlated with mental well-being, therefore, it is possible that PA could be used as a tool during times of wild fi re smoke. Conclusions: These data suggest that PA and mental well-being are adversely impacted during wild fi re smoke events. Future research should consider the impact of strategies to support PA during wild fi re events on PA and mental well-being.</t>
  </si>
  <si>
    <t>Grosvenor, MJ; Ardiyani, V; Wooster, MJ; Gillott, S; Green, DC; Lestari, P; Suri, W</t>
  </si>
  <si>
    <t>Catastrophic impact of extreme 2019 Indonesian peatland fires on urban air quality and health</t>
  </si>
  <si>
    <t>BIOMASS BURNING EMISSIONS; CENTRAL KALIMANTAN; GLOBAL MORTALITY; SOUTHEAST-ASIA; WILDFIRE SMOKE; HAZE POLLUTION; BIRTH-WEIGHT; EXPOSURE; PM2.5; TRANSPORT</t>
  </si>
  <si>
    <t>Tropical peatland fires generate substantial quantities of airborne fine particulate matter (PM2.5) and in Indonesia are intensified during El Ni &amp; ntilde;o-related drought leading to severe air quality impacts affecting local and distant populations. Limited in-situ data often necessitates reliance on air quality models, like that of the Copernicus Atmosphere Monitoring Service, whose accuracy in extreme conditions is not fully understood. Here we demonstrate how a network of low-cost sensors around Palangka Raya, Central Kalimantan during the 2019 fire season, quantified extreme air quality and city-scale variability. The data indicates relatively strong model performance. Health impacts are substantial with estimates of over 1200 excess deaths in the Palangka Raya region, over 3200 across Central Kalimantan and more than 87,000 nationwide in 2019 due to fire-induced PM2.5 exposure. These findings highlight the need for urgent action to mitigate extreme fire events, including reducing fire use and landscape remediation to prevent peat fire ignition. Networks of low-cost sensors can be used with atmospheric models to understand variability of air quality on a fine scale and show that emissions from peatland fires contribute to many excess deaths, suggests an analysis from the 2019 fire season in Kalimantan</t>
  </si>
  <si>
    <t>Jiao, AQ; Reilly, AN; Benmarhnia, T; Sun, Y; Avila, C; Chiu, V; Slezak, J; Sacks, DA; Molitor, J; Li, MY; Chen, JC; Wu, J; Getahun, D</t>
  </si>
  <si>
    <t>Fine Particulate Matter, Its Constituents, and Spontaneous Preterm Birth</t>
  </si>
  <si>
    <t>PARTICLE AIR-POLLUTION; AMBIENT-TEMPERATURE; FETAL FIBRONECTIN; CALIFORNIA WILDFIRES; RACIAL DISPARITIES; RESPIRATORY HEALTH; ASSOCIATION; RISK; STRESS; EPIDEMIOLOGY</t>
  </si>
  <si>
    <t>ImportanceThe associations of exposure to fine particulate matter (PM2.5) and its constituents with spontaneous preterm birth (sPTB) remain understudied. Identifying subpopulations at increased risk characterized by socioeconomic status and other environmental factors is critical for targeted interventions. ObjectiveTo examine associations of PM2.5 and its constituents with sPTB. Design, Setting, and ParticipantsThis population-based retrospective cohort study was conducted from 2008 to 2018 within a large integrated health care system, Kaiser Permanente Southern California. Singleton live births with recorded residential information of pregnant individuals during pregnancy were included. Data were analyzed from December 2023 to March 2024. ExposuresDaily total PM2.5 concentrations and monthly data on 5 PM2.5 constituents (sulfate, nitrate, ammonium, organic matter, and black carbon) in California were assessed, and mean exposures to these pollutants during pregnancy and by trimester were calculated. Exposures to total green space, trees, low-lying vegetation, and grass were estimated using street view images. Wildfire-related exposure was measured by the mean concentration of wildfire-specific PM2.5 during pregnancy. Additionally, the mean exposure to daily maximum temperature during pregnancy was calculated. Main Outcomes and MeasuresThe primary outcome was sPTB identified through a natural language processing algorithm. Discrete-time survival models were used to estimate associations of total PM2.5 concentration and its 5 constituents with sPTB. Interaction terms were used to examine the effect modification by race and ethnicity, educational attainment, household income, and exposures to green space, wildfire smoke, and temperature. ResultsAmong 409 037 births (mean [SD] age of mothers at delivery, 30.3 [5.8] years), there were positive associations of PM2.5, black carbon, nitrate, and sulfate with sPTB. Adjusted odds ratios (aORs) per IQR increase were 1.15 (95% CI, 1.12-1.18; P &lt; .001) for PM2.5 (IQR, 2.76 mu g/m3), 1.15 (95% CI, 1.11-1.20; P &lt; .001) for black carbon (IQR, 1.05 mu g/m3), 1.09 (95% CI, 1.06-1.13; P &lt; .001) for nitrate (IQR, 0.93 mu g/m3), and 1.06 (95% CI, 1.03-1.09; P &lt; .001) for sulfate (IQR, 0.40 mu g/m3) over the entire pregnancy. The second trimester was the most susceptible window; for example, aORs for total PM2.5 concentration were 1.07 (95% CI, 1.05-1.09; P &lt; .001) in the first, 1.10 (95% CI, 1.08-1.12; P &lt; .001) in the second, and 1.09 (95% CI, 1.07-1.11; P &lt; .001) in the third trimester. Significantly higher aORs were observed among individuals with lower educational attainment (eg, less than college: aOR, 1.16; 95% CI, 1.12-1.21 vs college [&gt;= 4 years]: aOR, 1.10; 95% CI, 1.06-1.14; P = .03) or income (&lt;50th percentile: aOR, 1.17; 95% CI, 1.14-1.21 vs &gt;= 50th percentile: aOR, 1.12; 95% CI, 1.09-1.16; P = .02) or who were exposed to limited green space (&lt;50th percentile: aOR, 1.19; 95% CI, 1.15-1.23 vs &gt;= 50th percentile: aOR, 1.12; 95% CI, 1.09-1.15; P = .003), more wildfire smoke (&gt;= 50th percentile: aOR, 1.19; 95% CI, 1.16-1.23 vs &lt;50th percentile: aOR, 1.13; 95% CI, 1.09-1.16; P = .009), or extreme heat (aOR, 1.51; 95% CI, 1.42-1.59 vs mild temperature: aOR, 1.11; 95% CI, 1.09-1.14; P &lt; .001). Conclusions and RelevanceIn this study, exposures to PM2.5 and specific PM2.5 constituents during pregnancy were associated with increased odds of sPTB. Socioeconomic status and other environmental exposures modified this association.</t>
  </si>
  <si>
    <t>Teixeira, J; Bessa, MJ; Delerue-Matos, C; Sarmento, B; Santos-Silva, A; Rodrigues, F; Bessa, MJ</t>
  </si>
  <si>
    <t>Firefighters' personal exposure to gaseous PAHs during controlled forest fires: A case study with estimation of respiratory health risks and in vitro toxicity</t>
  </si>
  <si>
    <t>Occupational exposure; Firefighting forces; Controlled fires; Airborne PAHs; Health risk assessment; Pulmonary cell viability assays</t>
  </si>
  <si>
    <t>POLYCYCLIC-AROMATIC-HYDROCARBONS; FINE PARTICULATE MATTER; WOOD SMOKE PARTICLES; OXIDATIVE STRESS; OCCUPATIONAL-EXPOSURE; COMBUSTION; WILDFIRE; CANCER; AIR; MIXTURES</t>
  </si>
  <si>
    <t>Firefighters are daily exposed to adverse health-hazardous pollutants. Polycyclic aromatic hydrocarbons (PAHs), well known endocrine disruptors with carcinogenic, mutagenic, and teratogenic properties, are among the most relevant pollutants. The characterization of firefighters' occupational exposure to airborne PAHs remains limited; information is scarce for European firefighters. Also, the in vitro assessment of firefighters' respiratory health risks is inexistent. To reply to these scientific gaps, this work characterizes the levels of gaseous PAH in firefighters' personal air during regular working activities at controlled forest fires and at fire stations (control group). Breathable levels were 2.2-26.7 times higher during fire events than in the control group (2.63-32.63 mu g/m(3) versus 1.22 mu g/m(3), p &lt; 0.001); the available occupational guidelines (100 and 200 mu g/m(3) defined by the US National Institute for Occupational Safety and Health and the North American Occupational Safety and Health Administration, respectively) were not exceeded. Concentrations of (possible/probable) carcinogenic PAHs were 1.9-15.3 times superior during firefighting (p &lt; 0.001). Increased values of total benzo(a)pyrene equivalents (p = 0.101), dose rates (p &lt; 0.001), and carcinogenic risks (p = 0.063) were estimated in firefighters during controlled fires comparatively with the control group. Firefighters' breathable gaseous phase collected during fire events contributed to induce a significant viability decrease (&lt;70 %; p &lt; 0.05) in A549 and Calu-3 cell lines. The principal component analysis (PCA) allowed the differentiation between firefighters participating in controlled fire events from the control group. PCA analysis demonstrated the potential of PAHs to distinguish different sources of firefighters occupational exposure and of combining estimated health risk parameters with in vitro toxicities determined with human-breathable air collected during real-life scenarios. Overall, the participation in controlled fire events contributes to the respiratory health burden of firefighting forces. However, more studies are needed to corroborate these preliminary findings, explore the respiratory toxicological mechanisms, and support the implementation of preventive actions and mitigation strategies to pursue firefighters' health.</t>
  </si>
  <si>
    <t>Panumasvivat, J; Sapbamrer, R; Sittitoon, N; Khacha-ananda, S; Kiratipaisarl, W; Sirikul, W; Insian, W; Assavanopakun, P</t>
  </si>
  <si>
    <t>Exploring the adverse effect of fine particulate matter (PM2.5) on wildland firefighters' pulmonary function and DNA damage</t>
  </si>
  <si>
    <t>Wildland firefighters; Particulate matter; Pulmonary function; DNA damage</t>
  </si>
  <si>
    <t>AMERICAN THORACIC SOCIETY; OXIDATIVE STRESS; AIR-POLLUTION; LUNG-FUNCTION; COMET ASSAY; FIRE SMOKE; EXPOSURE; HEALTH; SPIROMETRY</t>
  </si>
  <si>
    <t>Chiang Mai encounters severe pollution during the wildfire season. Wildland firefighters encounter various hazards while engaged in fire suppression operations, which encompass significant exposure to elevated concentrations of air pollutants resulting from combustion, especially particulate matter. The adverse effects of wildfire smoke on respiratory health are a significant concern. The objective of this study was to examine the potential adverse effects of PM2.5 exposure on the respiratory function and DNA damage of wildland firefighters. This prospective cohort study conducted in Chiang Mai from January to May 2022 planned to evaluate the health status of wildland firefighters during the pre-peak, peak, and post-peak ambient air pollution seasons. The measurement of PM2.5 was done at every forest fire station, as well as utilizing data from the Pollution Control Department. Participants received general health examinations, spirometry evaluations, and blood tests for DNA damage analysis. Pair t-tests and multiple regression models were used to examine the connection between pulmonary function parameters (FVC, FEV1) and PM2.5 concentration, with a significance level of P &lt; 0.05. Thirty-three peak-season and twenty-one post-peak-season participants were enrolled. Four pre-peak-season wildland firefighters had FVC and FEV1 declines of &gt; 15%. Multiple regression analysis showed a negative association between PM2.5 exposure and FVC% predicted (- 2.81%, 95% CI - 5.27 to - 0.34%, P = 0.027) and a marginally significant negative correlation with FVC (- 114.38 ml, 95% CI - 230.36 to 1.59 ml, P = 0.053). The remaining pulmonary measures showed a statistically insignificant decline. There were no significant changes in DNA damage detected. Wildland firefighters suffered a significant decline in pulmonary function associated with PM2.5 exposure. Spirometry is crucial for monitoring and promptly identifying respiratory issues that occur during wildfire seasons. Further research is recommended to explore DNA damage alterations and their potential association with PM2.5.</t>
  </si>
  <si>
    <t>Teixeira, J; Sousa, G; Azevedo, R; Almeida, A; Delerue-Matos, C; Wang, XY; Santos-Silva, A; Rodrigues, F; Oliveira, M</t>
  </si>
  <si>
    <t>Characterization of Wildland Firefighters' Exposure to Coarse, Fine, and Ultrafine Particles; Polycyclic Aromatic Hydrocarbons; and Metal(loid)s, and Estimation of Associated Health Risks</t>
  </si>
  <si>
    <t>climate change; controlled fires; firefighting forces; inhalation exposure; fire emissions; health risk assessment</t>
  </si>
  <si>
    <t>VOLATILE ORGANIC-COMPOUNDS; PARTICULATE MATTER; OCCUPATIONAL-EXPOSURE; SMOKE EXPOSURE; HEAVY-METALS; FOREST-FIRES; PRESCRIBED BURNS; SOUTHERN EUROPE; WILDFIRE; COMBUSTION</t>
  </si>
  <si>
    <t>Firefighters' occupational activity causes cancer, and the characterization of exposure during firefighting activities remains limited. This work characterizes, for the first time, firefighters' exposure to (coarse/fine/ultrafine) particulate matter (PM) bound polycyclic aromatic hydrocarbons (PAHs) and metal(loid)s during prescribed fires, Fire 1 and Fire 2 (210 min). An impactor collected 14 PM fractions, the PM levels were determined by gravimetry, and the PM-bound PAHs and metal(loid)s were determined by chromatographic and spectroscopic methodologies, respectively. Firefighters were exposed to a total PM level of 1408.3 and 342.5 mu g/m3 in Fire 1 and Fire 2, respectively; fine/ultrafine PM represented more than 90% of total PM. Total PM-bound PAHs (3260.2 ng/m3 in Fire 1; 412.1 ng/m3 in Fire 2) and metal(loid)s (660.8 ng/m3 versus 262.2 ng/m3), distributed between fine/ultrafine PM, contained 4.57-24.5% and 11.7-12.6% of (possible/probable) carcinogenic PAHs and metal(loid)s, respectively. Firefighters' exposure to PM, PAHs, and metal(loid)s were below available occupational limits. The estimated carcinogenic risks associated with the inhalation of PM-bound PAHs (3.78 x 10-9 - 1.74 x 10-6) and metal(loid)s (1.50 x 10-2 - 2.37 x 10-2) were, respectively, below and 150-237 times higher than the acceptable risk level defined by the USEPA during 210 min of firefighting activity and assuming a 40-year career as a firefighter. Additional studies need to (1) explore exposure to (coarse/fine/ultrafine) PM, (2) assess health risks, (3) identify intervention needs, and (4) support regulatory agencies recommending mitigation procedures to reduce the impact of fire effluents on firefighters.</t>
  </si>
  <si>
    <t>Zhu, ZH; Naunton, M; Mortazavi, R; Bushell, M</t>
  </si>
  <si>
    <t>The Impact of Australian Bushfires on Asthma Medicine Prescription Dispensing</t>
  </si>
  <si>
    <t>HEALTHCARE</t>
  </si>
  <si>
    <t>wildfire; bushfire; asthma; air pollution; PBS; PM2.5; PM2.5; smoke; prescriptions; medicines</t>
  </si>
  <si>
    <t>HOSPITAL ADMISSIONS; AIR-POLLUTION; SMOKE; ASSOCIATION; SYDNEY</t>
  </si>
  <si>
    <t>Health Care Sciences &amp; Services; Health Policy &amp; Services</t>
  </si>
  <si>
    <t>Background: Air pollution can cause numerous health problems and increase the need for medicines to treat and prevent asthma in affected areas. There is limited evidence about the association between airborne particles with a diameter of 2.5 micrometres or smaller (PM2.5) and asthma medicine usage. This study examined the potential association between the levels of PM2.5 and the supply of prescription asthma medicines in the Australian Capital Territory (ACT), Australia, during the severe bushfire season between November 2019-January 2020. Methods: Daily data was obtained from an ACT air quality monitoring station from November 2019 to January 2020 (study period) and November 2018 to January 2019 (control period, no bushfire). The number and types of government-funded asthma medicine prescriptions were obtained from the Services Australia (government) website by searching under 'Pharmaceutical Benefits Scheme Item Reports' and using relevant item codes during the study and control periods. Results: The medians for PM2.5 levels for the study period were significantly higher than those for the control period (p &lt; 0.001). There were increases in the number of dispensed prescriptions of short-acting beta-2 agonists (SABA), inhaled corticosteroids, and long-acting beta-2 agonists combined with inhaled corticosteroids. The greatest difference was seen with the inhaled corticosteroids: a 138% increase. Conclusions: The increase in the number of dispensed asthma prescriptions during the bushfire season should be used to inform the stock holdings of these medicines in preparation for future events to ensure access to lifesaving asthma medicines.</t>
  </si>
  <si>
    <t>Ma, YQ; Zang, EM; Liu, Y; Wei, J; Lu, Y; Krumholz, HM; Bell, ML; Chen, K</t>
  </si>
  <si>
    <t>Long- term exposure to wildland fire smoke PM2.5 and mortality in the contiguous United States</t>
  </si>
  <si>
    <t>wildland fire; mortality; fine particulate matter; United States</t>
  </si>
  <si>
    <t>HEALTH IMPACTS; PARTICULATE MATTER; WILDFIRE; POLLUTION; TRENDS; RISK</t>
  </si>
  <si>
    <t>Despite the substantial evidence on the health effects of short- term exposure to ambient fine particles (PM2.5), including increasing studies focusing on those from wildland fire smoke, the impacts of long- term wildland fire smoke PM 2.5 exposure remain unclear. We investigated the association between long- term exposure to wildland fire smoke PM 2.5 and nonaccidental mortality and mortality from a wide range of specific causes in all 3,108 counties in the contiguous United States, 2007 to 2020. Controlling for nonsmoke PM2.5, air temperature, and unmeasured spatial and temporal confounders, we found a nonlinear association between 12-mo moving average concentration of smoke PM 2.5 and monthly nonaccidental mortality rate. Relative to a month with the long- term smoke PM 2.5 exposure below 0.1 mu g/m 3 , nonaccidental mortality increased by 0.16 to 0.63 and 2.11 deaths per 100,000 people per month when the 12-mo moving average of PM 2.5 concentration was of 0.1 to 5 and 5+ mu g/m 3 , respectively. Cardiovascular, ischemic heart disease, digestive, endocrine, diabetes, mental, and chronic kidney disease mortality were all found to be associated with long- term wildland fire smoke PM 2.5 exposure. Smoke PM 2.5 contributed to approximately 11,415 nonaccidental deaths/y (95% CI: 6,754, 16,075) in the contiguous United States. Higher smoke PM 2.5- related increases in mortality rates were found for people aged 65 and above. Positive interaction effects with extreme heat were also observed. Our study identified the detrimental effects of long- term exposure to wildland fire smoke PM 2.5 on a wide range of mortality outcomes, underscoring the need for public health actions and communications that span the health risks of both short- and long- term exposure.</t>
  </si>
  <si>
    <t>Tian, YH; Ma, YDY; Xu, RB; Wu, Y; Li, SS; Hu, YH; Guo, YM</t>
  </si>
  <si>
    <t>Landscape fire PM2.5 and hospital admissions for cause-specific cardiovascular disease in urban China</t>
  </si>
  <si>
    <t>WILDFIRE SMOKE EXPOSURE; FINE PARTICULATE MATTER; AIR-POLLUTION; HEALTH; MORTALITY; RISK</t>
  </si>
  <si>
    <t>There is a growing interest in the health impacts of PM2.5 originating from landscape fires. We conducted a time-series study to investigate the association between daily exposure to landscape fire PM2.5 and hospital admissions for cardiovascular events in 184 major Chinese cities. We developed a machine learning model combining outputs from chemical transport models, meteorological information and observed air pollution data to determine daily concentrations of landscape fire PM2.5. Furthermore, we fitted quasi-Poisson regression to evaluate the link between landscape fire PM2.5 concentrations and cardiovascular hospitalizations in each city, and conducted random-effects meta-analysis to pool the city-specific estimates. Here we show that, on a national scale, a rise of 1-mu g/m3 in landscape fire PM2.5 concentrations is positively related to a same-day 0.16% (95% confidence interval: 0.01%-0.32%) increase in hospital admissions for cardiovascular disease, 0.28% (0.12%-0.44%) for ischemic heart disease, and 0.25% (0.02%-0.47%) for ischemic stroke. The associations remain significant even after adjusting for other sources of PM2.5. Our findings indicate that transient elevation in landscape fire PM2.5 levels may increase risk of cardiovascular diseases. There is a lack of studies on the impact of landscape fire PM2.5 on cardiovascular health. In this nationwide time-series study, short-term exposure to landscape fire PM2.5 was associated with increased hospital admissions for cardiovascular disease, ischemic heart disease, and ischemic stroke in 184 Chinese cities.</t>
  </si>
  <si>
    <t>Biochemistry &amp; Molecular Biology</t>
  </si>
  <si>
    <t>Khan, F; Kwapiszewska, K; Romero, AM; Rudzinski, K; Gil-Casanova, D; Surratt, JD; Szmigielski, R</t>
  </si>
  <si>
    <t>Evidence for cytotoxicity and mitochondrial dysfunction in human lung cells exposed to biomass burning aerosol constituents: Levoglucosan and 4-nitrocatechol</t>
  </si>
  <si>
    <t>Biomass burning aerosol; Nitroaromatics; Inhibitory concentration-50; Reactive oxygen species; Apoptosis</t>
  </si>
  <si>
    <t>SECONDARY ORGANIC AEROSOL; MOLECULAR CHARACTERIZATION; PARTICULATE MATTER; OXIDATIVE STRESS; LIGHT-ABSORPTION; WOOD COMBUSTION; BROWN CARBON; SMOKE; PARTICLES; APOPTOSIS</t>
  </si>
  <si>
    <t>Biomass burning (BB) emissions are one of the largest sources of carbonaceous aerosol, posing a significant risk as an airway irritant. Important BB markers include wood pyrolysis emissions, such as levoglucosan (LG) that is an anhydrous sugar bearing a six-carbon ring structure (i.e., 1,6-anhydro-beta-D-glucopyranose). Atmospheric chemical aging of BB-derived aerosol (BBA) in the presence of nitrogen oxides (NOx) can yield nitro-aromatic compounds, including 4-nitrocatechol (4NC). There is building evidence that NOx-mediated chemical aging of BBA poses a more serious exposure effect than primary pyrolysis emissions. This study provides a comparative toxicological assessment following the exposure to important BBA marker compounds in human lung cells (i.e., A549 and BEAS-2B) to determine whether aromatic 4NC is more toxic than BBA-bound anhydrous carbohydrate (i.e., LG). We determined inhibitory concentration-50 (IC50) and examined reactive oxygen species (ROS) changes, mitochondrial dysfunction, and apoptosis induction in the two cell lines following exposure to LG and 4NC in a dose-response manner. In the BEAS-2B cells, estimated IC50 values for 4NC were 33 and 8.8 mu g mL(-1), and for LG were 2546 and similar to 3 x 10(7) mu g mL(-1) at 24 h and 48 h of exposure, respectively. A549 cells exhibited a much higher IC50 value than BEAS-2B cells. LG exposures resulted in mitochondrial stress with viability inhibition, but cells recovered with increasing exposure time. 4NC exposures at 200 mu g mL(-1) resulted in the induction of apoptosis at 6 h. Mitochondrial dysfunction and ROS imbalance induced the intrinsic apoptotic pathway induction following 4NC exposures. While increased ROS is caused by LG exposure in lung cells, 4NC is a marker of concern during BB emissions, as we observed apoptosis and high mitochondrial ROS in both lung cells at atmospherically-relevant aerosol concentrations. It may be associated with higher airway or inhalation pathologies in higher BBA emissions, such as wildfires or during wood combustion.</t>
  </si>
  <si>
    <t>RESPIROLOGY</t>
  </si>
  <si>
    <t>Heft-Neal, S; Gould, CF; Childs, ML; Kiang, MV; Nadeau, KC; Duggan, M; Bendavid, E; Burke, M</t>
  </si>
  <si>
    <t>Emergency department visits respond nonlinearly to wildfire smoke</t>
  </si>
  <si>
    <t>health; wildfire; behavior; pollution</t>
  </si>
  <si>
    <t>CALIFORNIA WILDFIRES; RESPIRATORY HEALTH; IMPACTS; OZONE</t>
  </si>
  <si>
    <t>Air pollution negatively affects a range of health outcomes. Wildfire smoke is an increasingly important contributor to air pollution, yet wildfire smoke events are highly salient and could induce behavioral responses that alter health impacts. We combine geolocated data covering all emergency department (ED) visits to nonfederal hospitals in California from 2006 to 2017 with spatially resolved estimates of daily wildfire smoke PM2.5 concentrations and quantify how smoke events affect ED visits. Total ED visits respond nonlinearly to smoke concentrations. Relative to a day with no smoke, total visits increase by 1 to 1.5% in the week following low or moderate smoke days but decline by 6 to 9% following extreme smoke days. Reductions persist for at least a month. Declines at extreme levels are driven by diagnoses not thought to be acutely impacted by pollution, including accidental injuries and several nonurgent symptoms, and declines come disproportionately from less-insured populations. In contrast, health outcomes with the strongest physiological link to short-term air pollution increase dramatically in the week following an extreme smoke day: We estimate that ED visits for asthma, COPD, and cough all increase by 30 to 110%. Data from internet searches, vehicle traffic sensors, and park visits indicate behavioral changes on high smoke days consistent with declines in healthcare utilization. Because low and moderate smoke days vastly outweigh high smoke days, we estimate that smoke was responsible for an average of 3,010 (95% CI: 1,760-4,380) additional ED visits per year 2006 to 2017. Given the increasing intensity of wildfire smoke events, behavioral mediation is likely to play a growing role in determining total smoke impacts.</t>
  </si>
  <si>
    <t>Arabadjis, SD; Sweeney, SH; Kenner, CE; Tedesco, DJ</t>
  </si>
  <si>
    <t>Wildfire, evacuation, and cardiovascular events: A spatial exposure approach</t>
  </si>
  <si>
    <t>APPLIED GEOGRAPHY</t>
  </si>
  <si>
    <t>Wildfire; Survival analysis; Spatial data; Heart disease; Evacuation</t>
  </si>
  <si>
    <t>NORTHERN CALIFORNIA WILDFIRES; FINE PARTICULATE MATTER; AIR-POLLUTION; HOSPITAL ADMISSIONS; MYOCARDIAL-INFARCTION; RESPIRATORY HEALTH; SMOKE EXPOSURE; ASSOCIATIONS; MORTALITY; FIRES</t>
  </si>
  <si>
    <t>Increasingly, adverse health effects from wildfire exposure are not limited to select populations in the wildlandurban interface. As wildfires continue to grow in frequency and intensity, they are also continuing to encroach on urban areas, putting larger and larger populations at risk. In this study we develop an innovative research design in the wildfire and health literature, and report results for a small scale implementation on California's central coast. Instead of focusing on smoke exposure and PM 2.5 or PM 10 as the primary physiological pathway linking wildfire and adverse cardiovascular health outcomes, we draw on a stress pathway as a potential link between stress and heart health. We use a novel spatiotemporal definition of wildfire exposure that is directly measurable at the individual level and acutely stressful: evacuation orders. Combining longitudinal health data from the dominant local hospital system in southern Santa Barbara County, California, we directly determine exposure to an evacuation order and smoke plumes from three large fires in the 2017-2019 wildfire period. Controlling for additional known risk factors, such as diabetes status and smoking status, we model the risk of secondary cardiovascular events (CVE) for 2411 patients with existing cardiovascular disease. Roughly 16.2% of patients (n = 391) were exposed to an evacuation order. We found evacuation order exposure was not significantly associated with an increased risk of cardiac events for the CVD population, but estimates hovered between 12.5 and 16.3% over un-evacuated cohorts. Smoke exposures were not significantly associated with CVE risk in models adjusted for evacuation orders nor unadjusted models, and estimates of effects varied widely. Both the method and the findings have implications for public health departments, clinicians and wildfire researchers.</t>
  </si>
  <si>
    <t>Dhingra, R; Keeler, C; Staley, BS; Jardel, HV; Ward-Caviness, C; Rebuli, ME; Xi, YZ; Rappazzo, K; Hernandez, M; Chelminski, AN; Jaspers, I; Rappold, AG</t>
  </si>
  <si>
    <t>Wildfire smoke exposure and early childhood respiratory health: a study of prescription claims data</t>
  </si>
  <si>
    <t>Wildfire; Wildfire smoke; Smoke exposure; Prenatal; Perinatal; Childhood respiratory disease; Prescription claims</t>
  </si>
  <si>
    <t>SOUTHERN CALIFORNIA WILDFIRES; FINE PARTICULATE MATTER; AIR-POLLUTION; LUNG-FUNCTION; HOSPITAL ADMISSIONS; RISK-FACTOR; WOOD SMOKE; CHILDREN; BIRTH; FIRE</t>
  </si>
  <si>
    <t>Wildfire smoke is associated with short-term respiratory outcomes including asthma exacerbation in children. As investigations into developmental wildfire smoke exposure on children's longer-term respiratory health are sparse, we investigated associations between developmental wildfire smoke exposure and first use of respiratory medications. Prescription claims from IBM MarketScan Commercial Claims and Encounters database were linked with wildfire smoke plume data from NASA satellites based on Metropolitan Statistical Area (MSA). A retrospective cohort of live infants (2010-2016) born into MSAs in six western states (U.S.A.), having prescription insurance, and whose birthdate was estimable from claims data was constructed (N = 184,703); of these, gestational age was estimated for 113,154 infants. The residential MSA, gestational age, and birthdate were used to estimate average weekly smoke exposure days (smoke-day) for each developmental period: three trimesters, and two sequential 12-week periods post-birth. Medications treating respiratory tract inflammation were classified using active ingredient and mode of administration into three categories:: 'upper respiratory', 'lower respiratory', 'systemic anti-inflammatory'. To evaluate associations between wildfire smoke exposure and medication usage, Cox models associating smoke-days with first observed prescription of each medication category were adjusted for infant sex, birth-season, and birthyear with a random intercept for MSA. Smoke exposure during postnatal periods was associated with earlier first use of upper respiratory medications (1-12 weeks: hazard ratio (HR) = 1.094 per 1-day increase in average weekly smoke-day, 95%CI: (1.005,1.191); 13-24 weeks: HR = 1.108, 95%CI: (1.016,1.209)). Protective associations were observed during gestational windows for both lower respiratory and systemic anti-inflammatory medications; it is possible that these associations may be a consequence of live-birth bias. These findings suggest wildfire smoke exposure during early postnatal developmental periods impact subsequent early life respiratory health.</t>
  </si>
  <si>
    <t>Tornevi, A; Andersson, C; Carvalho, A; Langner, J; Forsberg, B</t>
  </si>
  <si>
    <t>Potential Health Impacts from a Wildfire Smoke Plume over Region Jämtland Härjedalen, Sweden</t>
  </si>
  <si>
    <t>PM2.5; asthma; chemistry transport model; forest smoke; health care visits; respiratory health; wildfires</t>
  </si>
  <si>
    <t>MORTALITY; CLIMATE; POPULATION; EMISSIONS; FINLAND; EUROPE; MODEL; RISK</t>
  </si>
  <si>
    <t>In the summer of 2018, Sweden experienced widespread wildfires, particularly in the region of Jamtland Harjedalen during the final weeks of July. We previously conducted an epidemiological study and investigated acute respiratory health effects in eight municipalities relation to the wildfire air pollution. In this study, we aimed to estimate the potential health impacts under less favorable conditions with different locations of the major fires. Our scenarios focused on the most intense plume from the 2018 wildfire episode affecting the largest municipality, which is the region's only city. Combining modeled PM2.5 concentrations, gridded population data, and exposure-response functions, we assessed the relative increase in acute health effects. The cumulative population-weighted 24 h PM2.5 exposure during the nine highest-level days reached 207 mu g/m(3) days for 63,227 inhabitants. We observed a small number of excess cases, particularly in emergency unit visits for asthma, with 13 additional cases compared to the normal 12. Overall, our scenario-based health impact assessment indicates minor effects on the studied endpoints due to factors such as the relatively small population, limited exposure period, and moderate increase in exposure compared to similar assessments. Nonetheless, considering the expected rise in fire potential due to global warming and the long-range transport of wildfire smoke, raising awareness of the potential health risks in this region is important.</t>
  </si>
  <si>
    <t>Thilakaratne, R; Hoshiko, S; Rosenberg, A; Hayashi, T; Buckman, JR; Rappold, AG</t>
  </si>
  <si>
    <t>Wildfires and the Changing Landscape of Air Pollution-related Health Burden in California</t>
  </si>
  <si>
    <t>wildfire smoke exposure; respiratory outcomes; burden of disease</t>
  </si>
  <si>
    <t>HOSPITAL ADMISSIONS; BUSHFIRE SMOKE; IMPACTS</t>
  </si>
  <si>
    <t>Rationale: Wildfires are a growing source of pollution including particulate matter &lt;= 2.5 mu m in aerodynamic diameter (PM2.5), but associated trends in health burden are not well characterized. Objectives: We investigated trends and disparities in PM2.5-related cardiorespiratory health burden (asthma, chronic obstructive pulmonary disease, and all-cause respiratory and cardiovascular emergency department [ED] visits and hospital admissions) for all days and wildfire smoke-affected days across California from 2008 to 2016. Methods: Using residential Zone Improvement Plan code and daily PM2.5 exposures, we estimated overall and subgroup-specific (age, gender, race and ethnicity) associations with cardiorespiratory outcomes. Health burden trends and disparities were evaluated on the basis of relative risk, attributable number, and attributable fraction by demographic and geographic factors and over time. Measurements and Main Results: PM2.5-attributed burden steadily decreased, whereas the fraction attributed to wildfire smoke varied by fire season intensity, constituting up to 15% of the annual PM2.5-burden. The highest relative risk and PM2.5-attributed burden (92 per 100,000 people) was observed for respiratory ED visits, accounting for 2.2% of the respiratory annual burden. Disparities in overall morbidity in the oldest age, Black, and other race groups were also reflected in PM2.5-attributed burden, whereas Asian populations had the highest risk rate in respiratory outcomes and thus the largest fraction of the total burden attributed to the exposure. In contrast, high wildfire PM2.5-attributed burden rates in rural, central, and northern California populations occurred because of differential exposure. Conclusions: In California, wildfires' impact on air quality offset the public health gains achieved through reductions in nonsmoke PM2.5. Disproportionate effects could be attributed to differences in subpopulation susceptibility, relative risk, and differential exposure.</t>
  </si>
  <si>
    <t>Duncan, S; Reed, C; Spurlock, T; Sugg, MM; Runkle, JD</t>
  </si>
  <si>
    <t>Acute Health Effects of Wildfire Smoke Exposure During a Compound Event: A Case-Crossover Study of the 2016 Great Smoky Mountain Wildfires</t>
  </si>
  <si>
    <t>exposure; wildfires; emergency department; smoke</t>
  </si>
  <si>
    <t>EMERGENCY-DEPARTMENT VISITS; AIR-POLLUTION; HOSPITAL ADMISSIONS; CALIFORNIA WILDFIRES; US COUNTIES; MORTALITY; IMPACT; PATTERNS; TRENDS</t>
  </si>
  <si>
    <t>In 2016, unprecedented intense wildfires burned over 150,000 acres in the southern Appalachian Mountains in the United States. Smoke from these fires greatly impacted the region and exposure to this smoke was significant. A bidirectional case-crossover design was applied to assess the relationship between PM2.5 (a surrogate for wildfire smoke) exposure and respiratory- and cardiovascular-related emergency department (ED) visits in Western North Carolina during these events. For 0-, 3-, and 7-day lags, findings indicated a significant increase in the odds of being admitted to the ED for a respiratory (ORs: 1.055, 95% CI: 1.048-1.063; 1.083, 1.074-1.092; 1.066, 1.058-1.074; respectively) or cardiovascular event (ORs: 1.052, 95% CI: 1.045-1.060; 1.074, 1.066-1.081; 1.067, 1.060-1.075; respectively) for every 5 mu g/m(3) increase in PM2.5 over a chosen cutpoint of 20.4 mu g/m3. For all endpoints assessed except for emphysema, there were statistically significant increases in odds from 5.1% to 8.3%. In general, this increase was most pronounced 3 days after exposure. Additionally, individuals aged 55+ generally experience higher odds of heart disease at the 3- and 7-day lag points, and Black/African Americans generally experience higher odds of asthma at the 3-day lag point. In general, larger fires and increased numbers of fires within counties resulted in higher health burden at same day exposure. In a secondary analysis, the odds of an ED visit increased by over 40% in several cases among people exposed to days above the Environmental Protection Agency 24-hr PM2.5 standard of 35 mu g/m(3). Our findings provide new understanding on the health impacts of wildfires on rural populations in the southeastern US.</t>
  </si>
  <si>
    <t>Pan, S; Gan, L; Jung, J; Yu, WD; Roy, A; Diao, LJ; Jeon, W; Souri, AH; Gao, HO; Choi, Y</t>
  </si>
  <si>
    <t>Quantifying the premature mortality and economic loss from wildfire- induced PM2.5 in the contiguous US</t>
  </si>
  <si>
    <t>Wildfires; Air quality; Public health; Economic burden; Wildfire risk</t>
  </si>
  <si>
    <t>POSTNEONATAL INFANT-MORTALITY; FINE PARTICULATE MATTER; WILDLAND FIRE SMOKE; HEALTH IMPACTS; AIR-POLLUTION; UNITED-STATES; OZONE; TRANSPORT; EXPOSURE; QUALITY</t>
  </si>
  <si>
    <t>Emissions from wildfires worsen air quality and can adversely impact human health. This study utilized the fire inven-tory from NCAR (FINN) as wildfire emissions, and performed air quality modeling of April-October 2012, 2013, and 2014 using the U.S. Environmental Protection Agency CMAQ model under two cases: with and without wildfire emissions. This study then assessed the health impacts and economic values attributable to PM2.5 from fires. Results indicated that wildfires could lead annually to 4000 cases of premature mortality in the U.S., corresponding to $36 billion losses. Regions with high concentrations of fire-induced PM2.5 were in the west (e.g., Idaho, Montana, and northern California) and Southeast (e.g., Alabama, Georgia). Metropolitan areas located near fire sources, exhibited large health burdens, such as Los Angeles (119 premature deaths, corresponding to $1.07 billion), Atlanta (76, $0.69 billion), and Houston (65, $0.58 billion). Regions in the downwind of western fires, although experiencing relatively low values of fire-induced PM2.5, showed notable health burdens due to their large population, such as met-ropolitan areas of New York (86, $0.78 billion), Chicago (60, $0.54 billion), and Pittsburgh (32, $0.29 billion). Results suggest that impacts from wildfires are substantial, and to mitigate these impacts, better forest management and more resilient infrastructure would be needed.</t>
  </si>
  <si>
    <t>Hwang, J; Chong, NS; Zhang, ML; Agnew, RJ; Xu, C; Li, ZJ; Xu, X</t>
  </si>
  <si>
    <t>Face-to-face with scorching wildfire: potential toxicant exposure and the health risks of smoke for wildland firefighters at the wildland-urban interface</t>
  </si>
  <si>
    <t>LANCET REGIONAL HEALTH-AMERICAS</t>
  </si>
  <si>
    <t>Wildfire; Wildland-urban interface (WUI); Firefighter; Multi-pollutant mixtures of fire smoke; Occupational and environmental health; Exposure assessment; Prescribed burn</t>
  </si>
  <si>
    <t>US FIREFIGHTERS; SAN-FRANCISCO; CHICAGO; COHORT; CANCER</t>
  </si>
  <si>
    <t>Health Care Sciences &amp; Services; Public, Environmental &amp; Occupational Health</t>
  </si>
  <si>
    <t>As wildfire risks have elevated due to climate change, the health risks that toxicants from fire smoke pose to wildland firefighters have been exacerbated. Recently, the International Agency for Research on Cancer (IARC) has reclassified wildland firefighters' occupational exposure as carcinogenic to humans (Group 1). Wildfire smoke contributes to an increased risk of cancer and cardiovascular disease, yet wildland firefighters have inadequate respiratory protection. The economic cost of wildland fires has risen concurrently, as illustrated by the appropriation of $45 billion for wildfire management over FYs 2011-2020 by the U.S. Congress. Occupational epidemiological studies of wildland firefighters are crucial for minimizing health risks; however, they must account for the mixture of exposures in wildfire smoke. This review focuses on four aspects of wildland firefighters' health risks at the wildland-urban interface: 1) economic costs and health impact, 2) respiratory protection, 3) multipollutant mixtures, and 4) proac-tive management of wildfires.Copyright (c) 2023 The Author(s). Published by Elsevier Ltd. This is an open access article under the CC BY license (http://creativecommons.org/licenses/by/4.0/).</t>
  </si>
  <si>
    <t>Navarro, KM; Fent, K; Mayer, AC; Brueck, SE; Toennis, C; Law, B; Meadows, J; Sammons, D; Brown, S</t>
  </si>
  <si>
    <t>Characterization of inhalation exposures at a wildfire incident during the Wildland Firefighter Exposure and Health Effects (WFFEHE) Study</t>
  </si>
  <si>
    <t>chainsaw exhaust; firefighter; wildfire; wood smoke</t>
  </si>
  <si>
    <t>SMOKE; LEVOGLUCOSAN</t>
  </si>
  <si>
    <t>Wildland firefighters (WFFs) are exposed to many inhalation hazards working in the wildland fire environment. To assess occupational exposures and acute and subacute health effects among WFFs, the wildland firefighter exposure and health effects study collected data for a 2-year repeated measures study. This manuscript describes the exposure assessment from one Interagency Hotshot Crew (N = 19) conducted at a wildfire incident. Exposures to benzene, toluene, ethylbenzene, xylene isomers, formaldehyde, acetaldehyde, and naphthalene were measured through personal air sampling each work shift. Biological monitoring was done for creatinine-adjusted levoglucosan in urine pre- and post-shift. For 3 days sampling at the wildfire incident, benzene, toluene, ethylbenzene, xylene isomers (m and p, and o) exposure was highest on day 1 (geometric mean [GM] = 0.015, 0.042, 0.10, 0.42, and 0.15 ppm, respectively) when WFFs were not exposed to smoke but used chainsaws to remove vegetation and prepare fire suppression breaks. Exposure to formaldehyde and acetaldehyde was highest on day 2 (GM = 0.03 and 0.036 ppm, respectively) when the WFFs conducted a firing operation and were directly exposed to wildfire smoke. The greatest difference of pre- and post-shift levoglucosan concentrations were observed on day 3 (pre-shift: 9.7 and post-shift: 47 &amp; mu;g/mg creatinine) after WFFs conducted mop up (returned to partially burned area to extinguish any smoldering vegetation). Overall, 65% of paired samples (across all sample days) showed a post-shift increase in urinary levoglucosan and 5 firefighters were exposed to benzene at concentrations at or above the National Institute for Occupational Safety and Health (NIOSH) recommended exposure limit. Our findings further demonstrate that exposure to inhalation hazards is one of many risks that wildland firefighters experience while suppressing wildfires.</t>
  </si>
  <si>
    <t>Efimova, N; Paramonov, V; Rukavishnikov, V; Fedorov, R; Ruzhnikov, G; Tsyrendorzhiyev, A</t>
  </si>
  <si>
    <t>Assessment of health risk of the baikal region population associated with the wildfire air pollution: Approaches, modelling, digital environment</t>
  </si>
  <si>
    <t>EMERGING CONTAMINANTS</t>
  </si>
  <si>
    <t>Air pollution; Wildfire; Health risk; Digital environment</t>
  </si>
  <si>
    <t>The latest forecasts indicate wildfire activity in many parts of the world. Wildfire smoke contains haz-ardous air pollutants such as carbon monoxide, nitrogen dioxide, ozone, particulate matter et cetera. However, prediction of this impact and on time medical care are difficult due to the lack of digital decision-making systems. The aim of this study is to assess population health risks associated with the sub-daily exposure to wildfire smoke produced by massive foci of combustion near the populated areas and at a significant distance from them. We consider reflex reactions as a response to a short-term exposure. The maximum value of the 95th percentile from the series of observations at the moni-toring point was used to assess the hazard. For the mathematical description of the concentration -ef-fect relationship, the model of individual thresholds is applicable. This model describes a dependence as a straight line under the condition that the concentration is expressed in the form of a normal -probabilistic scale. The frequency of additional cases is determined by studying the number of re-quests for medical assistance (including calls for ambulance) with complaints of respiratory disorders, lacrimation, etc. on the territories affected by wildfires smokes. The indicator is calculated per 1000 population. The probability of negative biological effects in response to the impact of wildfire smoke is associated mainly with the content of CO and TPM in the conditions of the Baikal region. The frequency of additional requests for medical care ranged from 0.137 to 0.933 per 1000 exposed population during the fire period in settlements where risk levels are &gt;0.01. We developed a digital environment that al-lows us to get information about harmful substances in the outdoor air from different sources and in different formats and data schemes. The digital environment supports implementation of models for assessing hazards to human body organs.(c) 2022 The Authors. Publishing services by Elsevier B.V. on behalf of KeAi Communications Co. Ltd. This is an open access article under the CC BY license (http://creativecommons.org/licenses/by/4.0/).</t>
  </si>
  <si>
    <t>Nguyen, PK; Son, Y; Petereit, J; Khlystov, A; Panella, R</t>
  </si>
  <si>
    <t>Modeling Human Lung Cells Exposure to Wildfire Uncovers Aberrant lncRNAs Signature</t>
  </si>
  <si>
    <t>BIOMOLECULES</t>
  </si>
  <si>
    <t>lncRNAs; biomarkers; signature; wildfire</t>
  </si>
  <si>
    <t>AIR-LIQUID INTERFACE; LONG NONCODING RNAS; HEALTH IMPACTS; SMOKE; TOXICITY; AEROSOLS</t>
  </si>
  <si>
    <t>Emissions generated by wildfires are a growing threat to human health and are characterized by a unique chemical composition that is tightly dependent on geographic factors such as fuel type. Long noncoding RNAs (lncRNAs) are a class of RNA molecules proven to be critical to many biological processes, and their condition-specific expression patterns are emerging as prominent prognostic and diagnostic biomarkers for human disease. We utilized a new air-liquid interface (ALI) direct exposure system that we designed and validated in house to expose immortalized human tracheobronchial epithelial cells (AALE) to two unique wildfire smokes representative of geographic regions (Sierra Forest and Great Basin). We conducted an RNAseq analysis on the exposed cell cultures and proved through both principal component and differential expression analysis that each smoke has a unique effect on the LncRNA expression profiles of the exposed cells when compared to the control samples. Our study proves that there is a link between the geographic origin of wildfire smoke and the resulting LncRNA expression profile in exposed lung cells and also serves as a proof of concept for the in-house designed ALI exposure system. Our study serves as an introduction to the scientific community of how unique expression patterns of LncRNAs in patients with wildfire smoke-related disease can be utilized as prognostic and diagnostic tools, as the current roles of LncRNA expression profiles in wildfire smoke-related disease, other than this study, are completely uncharted.</t>
  </si>
  <si>
    <t>INTERNATIONAL JOURNAL OF ENVIRONMENTAL RESEARCH AND PUBLIC HEALTH</t>
  </si>
  <si>
    <t>Molitor, D; Mullins, JT; White, C</t>
  </si>
  <si>
    <t>Air pollution and suicide in rural and urban America: Evidence from wildfire smoke</t>
  </si>
  <si>
    <t>air pollution; mental health; suicide; wildfire smoke; environmental economics</t>
  </si>
  <si>
    <t>PARTICULATE MATTER; FINE</t>
  </si>
  <si>
    <t>Air pollution poses well-established risks to physical health, but little is known about its effects on mental health. We study the relationship between wildfire smoke exposure and suicide risk in the United States in 2007 to 2019 using data on all deaths by suicide and satellite-based measures of wildfire smoke and ambient fine particulate matter (PM2.5) concentrations. We identify the causal effects of wildfire smoke pollution on suicide by relating year-over-year fluctuations in county-level monthly smoke exposure to fluctuations in suicide rates and compare the effects across local areas and demographic groups that differ considerably in their baseline suicide risk. In rural counties, an additional day of smoke increases monthly mean PM2.5 by 0.41 mu g/m(3) and suicide deaths by 0.11 per million residents, such that a 1-1.ig/m(3) (13%) increase in monthly wildfire-derived fine particulate matter leads to 0.27 additional suicide deaths per million residents (a 2.0% increase). These effects are concentrated among demographic groups with both high baseline suicide risk and high exposure to outdoor air: men, working-age adults, non-Hispanic Whites, and adults with no college education. By contrast, we find no evidence that smoke pollution increases suicide risk among any urban demographic group. This study provides large-scale evidence that air pollution elevates the risk of suicide, disproportionately so among rural populations.</t>
  </si>
  <si>
    <t>Chen, AI; Ebisu, K; Benmarhnia, T; Basu, R</t>
  </si>
  <si>
    <t>Emergency department visits associated with wildfire smoke events in California, 2016-2019</t>
  </si>
  <si>
    <t>Wildfire smoke; Fine particulate matter; PM2.5; Health impacts; Emergency department visits</t>
  </si>
  <si>
    <t>WILDLAND FIRE SMOKE; PARTICULATE MATTER; HOSPITAL ADMISSIONS; HEALTH IMPACTS; TEMPERATURE; VULNERABILITY; DISPARITIES; MEDICATION; EXPOSURE; QUALITY</t>
  </si>
  <si>
    <t>Wildfire smoke has been associated with adverse respiratory outcomes, but the impacts of wildfire on other health outcomes and sensitive subpopulations are not fully understood. We examined associations between smoke events and emergency department visits (EDVs) for respiratory, cardiovascular, diabetes, and mental health outcomes in California during the wildfire season June-December 2016-2019. Daily, zip code tabulation area-level wildfire-specific fine particulate matter (PM2.5) concentrations were aggregated to air basins. A smoke event was defined as an air basin-day with a wildfire-specific PM2.5 concentration at or above the 98th percentile across all air basin-days (threshold = 13.5 mu g/m3). We conducted a two-stage time-series analysis using quasi-Poisson regression considering lag effects and random effects meta-analysis. We also conducted analyses stratified by race/ethnicity, age, and sex to assess potential effect modification. Smoke events were associated with an increased risk of EDVs for all respiratory diseases at lag 1 [14.4%, 95% confidence interval (CI): (6.8, 22.5)], asthma at lag 0 [57.1% (44.5, 70.8)], and chronic lower respiratory disease at lag 0 [12.7% (6.2, 19.6)]. We also found positive associations with EDVs for all cardiovascular diseases at lag 10. Mixed results were observed for mental health outcomes. Stratified results revealed potential disparities by race/ethnicity. Short-term exposure to smoke events was associated with increased respiratory and schizophrenia EDVs. Car-diovascular impacts may be delayed compared to respiratory outcomes.</t>
  </si>
  <si>
    <t>Schwarz, L; Aguilera, R; Aguilar-Dodier, LC; Quiñones, JEC; García, MEA; Benmarhnia, T</t>
  </si>
  <si>
    <t>Wildfire smoke knows no borders: Differential vulnerability to smoke effects on cardiorespiratory health in the San Diego-Tijuana region</t>
  </si>
  <si>
    <t>PLOS GLOBAL PUBLIC HEALTH</t>
  </si>
  <si>
    <t>AIR-POLLUTION; SOCIOECONOMIC-STATUS; CALIFORNIA WILDFIRES; PARTICULATE MATTER; RESPIRATORY HEALTH; CLIMATE-CHANGE; EXPOSURE; IMPACTS; EVENTS; SYSTEM</t>
  </si>
  <si>
    <t>Exposure to fine particles in wildfire smoke is deleterious for human health and can increase cases of cardio-respiratory illnesses and related hospitalizations. Neighborhood-level risk factors can increase susceptibility to environmental hazards, such as air pollution from smoke, and the same exposure can lead to different health effects across populations. While the San Diego-Tijuana border can be exposed to the same wildfire smoke event, socio-demographic differences may drive differential effects on population health. We used the October 2007 wildfires, one the most devastating wildfire events in Southern California that brought smoke to the entire region, as a natural experiment to understand the differential effect of wildfire smoke on both sides of the border. We applied synthetic control methods to evaluate the effects of wildfire smoke on cardio-respiratory hospitalizations in the Municipality of Tijuana and San Diego County separately. During the study period (October 11th- October 26th, 2007), 2009 hospital admissions for cardio-respiratory diseases occurred in San Diego County while 37 hospital admissions were reported in the Municipality of Tijuana. The number of cases in Tijuana was much lower than San Diego, and a precise effect of wildfire smoke was detected in San Diego but not in Tijuana. However, social drivers can increase susceptibility to environmental hazards; the poverty rate in Tijuana is more than three times that of San Diego. Socio-demographics are important in modulating the effects of wildfire smoke and can be potentially useful in developing a concerted regional effort to protect populations on both sides of the border from the adverse health effects of wildfire smoke.</t>
  </si>
  <si>
    <t>Saberi, P; Ming, K; Arnold, EA; Leddy, AM; Weiser, SD</t>
  </si>
  <si>
    <t>Extreme weather events and HIV: development of a conceptual framework through qualitative interviews with people with HIV impacted by the California wildfires and their clinicians</t>
  </si>
  <si>
    <t>HIV; Extreme weather events; Climate change; Wildfire; Mental health; Qualitative research; Intersection; California</t>
  </si>
  <si>
    <t>HEALTH IMPACTS; CLIMATE-CHANGE; ANTIRETROVIRAL THERAPY; RISK; MIGRATION; EXPOSURE; CANCER; SMOKE; ENVIRONMENT; ADHERENCE</t>
  </si>
  <si>
    <t>BackgroundPeople with HIV (PWH) are disproportionately vulnerable to the impacts of wildfires, given the need for frequent access to healthcare systems, higher burden of comorbidities, higher food insecurity, mental and behavioral health challenges, and challenges of living with HIV in a rural area. In this study, we aim to better understand the pathways through which wildfires impact health outcomes among PWH.MethodsFrom October 2021 through February 2022, we conducted individual semi-structured qualitative interviews with PWH impacted by the Northern California wildfires and clinicians of PWH who were impacted by wildfires. The study aims were to explore the influence of wildfires on the health of PWH and to discuss measures at the individual, clinic, and system levels that helped to mitigate these impacts.ResultsWe interviewed 15 PWH and 7 clinicians. While some PWH felt that surviving the HIV epidemic added to their resilience against wildfires, many felt that the wildfires compounded the HIV-related traumas that they have experienced. Participants outlined five main routes by which wildfires negatively impacted their health: (1) access to healthcare (medications, clinics, clinic staff), (2) mental health (trauma; anxiety, depression, or stress; sleep disturbances; coping strategies), (3) physical health (cardiopulmonary, other co-morbidities), (4) social/economic impacts (housing, finances, community), and (5) nutrition and exercise. The recommendations for future wildfire preparedness were at the (1) individual-level (what to have during evacuation), (2) pharmacy-level (procedural, staffing), and (3) clinic- or county-level (funds and vouchers; case management; mental health services; emergency response planning; other services such as telehealth, home visits, home laboratory testing).ConclusionsBased on our data and prior research, we devised a conceptual framework that acknowledges the impact of wildfires at the community-, household-, and individual-level with implications for physical and mental health outcomes among PWH. These findings and framework can help in developing future interventions, programs, and policies to mitigate the cumulative impacts of extreme weather events on the health of PWH, particularly among individuals living in rural areas. Further studies are needed to examine health system strengthening strategies, innovative methods to improve access to healthcare, and community resilience through disaster preparedness.</t>
  </si>
  <si>
    <t>PUBLIC HEALTH NURSING</t>
  </si>
  <si>
    <t>Public, Environmental &amp; Occupational Health; Nursing</t>
  </si>
  <si>
    <t>Gao, Y; Huang, WZ; Xu, RB; Gasevic, D; Liu, YM; Yu, WH; Yu, P; Yue, X; Zhou, GW; Zhang, Y; Liu, H; Song, JN; Guo, YM; Li, SS</t>
  </si>
  <si>
    <t>Association between long-term exposure to wildfire-related PM2.5 and mortality: A longitudinal analysis of the UK Biobank</t>
  </si>
  <si>
    <t>Wildfire; Fine particulate matter; Mortality; Cohort</t>
  </si>
  <si>
    <t>Little is known about the associations between long-term exposure to wildfire-related fine particulate matter (PM2.5) and mortality. We aimed to explore theses associations using the data from the UK Biobank cohort. Long-term wildfire-related PM2.5 exposure was defined as the 3-year cumulative concentrations of wildfire-related PM2.5 within a 10-km buffer surrounding the residential address for each individual. Hazard ratios (HRs) with 95% confidence intervals (CIs) were estimated using the time-varying Cox regression model. We included 492,394 participants aged between 38 and 73 years. We found that after adjusting for potential covariates, a 10 &amp; mu;g/m3 increase of wildfire-related PM2.5 exposure was associated with a 0.4% higher risk of all-cause mortality (HR = 1.004 [95% CI: 1.001, 1.006]) and nonaccidental mortality (HR = 1.004 [95% CI: 1.002, 1.006]), and a 0.5% higher risk of neoplasm mortality (HR = 1.005 [95% CI: 1.002, 1.008]). However, no significant associ-ations were observed between wildfire-related PM2.5 exposure and mortality from cardiovascular, respiratory, and mental diseases. Additionally, no significant modification effects of a series of modifiers were observed. Targeted health protection strategies should be adopted in response to wildfire-related PM2.5 exposure, in order to reduce the risk of premature mortality.</t>
  </si>
  <si>
    <t>Xu, RB; Li, SS; Wu, Y; Yue, X; Wong, EM; Southey, MC; Hopper, JL; Li, S; Guo, YM</t>
  </si>
  <si>
    <t>Wildfire-related PM2.5 and DNA methylation: An Australian twin and family study</t>
  </si>
  <si>
    <t>PM2; 5; Wildfire smoke; DNA methylation; Epigenome-wide association study; Twin and family study</t>
  </si>
  <si>
    <t>AIR-POLLUTION; R-PACKAGE; MAMMOGRAPHIC DENSITY; EXPOSURE; RISK; GENE; ASSOCIATIONS; BIOMARKER; DISEASE; LINE-1</t>
  </si>
  <si>
    <t>Background: Wildfire-related fine particulate matter (PM2.5) has many adverse health impacts, but its impacts on human epigenome are unknown. We aimed to evaluate the associations between long-term exposure to wildfire -related PM2.5 and blood DNA methylation, and whether the associations differ from those with non-wildfire -related PM2.5.Methods: We studied 479 Australian women comprising 132 twin pairs and 215 of their sisters. Blood-derived DNA methylation was measured using the HumanMethylation450 BeadChip array. Data on 3-year (year of blood collection and previous two years) average wildfire-related and non-wildfire-related PM2.5 at 0.01 degrees x0.01 degrees spatial resolution were created by combining information from satellite observations, chemical transport models, and ground-based observations. Exposure data were linked to each participant's home address, assuming the address did not change during the exposure window. For DNA methylation of each cytosine-guanine dinucleotide (CpG), and for global DNA methylation represented by the average of all measured CpGs or CpGs in repetitive elements, we evaluated their associations with wildfire-or non-wildfire-related PM2.5 using a within-sibship analysis controlling for factors shared between siblings and other important covariates. Differentially methyl-ated regions (DMRs) were defined by comb-p and DMRcate.Results: The 3-year average wildfire-related PM2.5 (range: 0.3 to 7.6 mu g/m3 , mean: 1.6 mu g/m3) was negatively, but not significantly (p-values greater than 0.05) associated with all seven global DNA methylation measures. There were 26 CpGs and 33 DMRs associated with wildfire-related PM2.5 (Bonferroni adjusted p-value &lt; 0.05) mapped to 47 genes enriched for pathways related to inflammatory regulation and platelet activation. These genes have been related to many human diseases or phenotypes e.g., cancer, mental disorders, diabetes, obesity, asthma, blood pressure. These CpGs, DMRs and enriched pathways did not overlap with the 1 CpG and 7 DMRs associated with non-wildfire-related PM2.5.Conclusions: Long-term exposure to wildfire-related PM2.5 was associated with various blood DNA methylation signatures in Australian women, and these were distinct from those associated with non-wildfire-related PM2.5.</t>
  </si>
  <si>
    <t>Wen, JF; Heft-Neal, S; Baylis, P; Boomhower, J; Burke, M; Reid, CE</t>
  </si>
  <si>
    <t>Quantifying fire- specific smoke exposure and health impacts</t>
  </si>
  <si>
    <t>wildfire; air pollution; climate change; health impacts</t>
  </si>
  <si>
    <t>WILDFIRE; POLLUTION; MORTALITY; SYSTEM</t>
  </si>
  <si>
    <t>Rapidly changing wildfire regimes across the Western United States have driven more frequent and severe wildfires, resulting in wide- ranging societal threats from wildfires and wildfire- generated smoke. However, common measures of fire severity focus on what is burned, disregarding the societal impacts of smoke generated from each fire. We combine satellite- derived fire scars, air parcel trajectories from individual fires, and predicted smoke PM2.5 to link source fires to resulting smoke PM2.5 and health impacts experienced by populations in the contiguous United States from April 2006 to 2020. We quantify fire- specific accumulated smoke exposure based on the cumula-tive population exposed to smoke PM2.5 over the duration of a fire and estimate excess asthma- related emergency department (ED) visits as a result of this exposure. We find that excess asthma visits attributable to each fire are only moderately correlated with common measures of wildfire severity, including burned area, structures destroyed, and suppression cost. Additionally, while recent California fires contributed nearly half of the country's smoke- related excess asthma ED visits during our study period, the most severe individual fire was the 2007 Bugaboo fire in the Southeast. We estimate that a majority of smoke PM2.5 comes from sources outside the local jurisdictions where the smoke is experienced, with 87% coming from fires in other counties and 60% from fires in other states. Our approach could enable broad -scale assessment of whether specific fire characteristics affect smoke toxicity or impact, inform cost- effectiveness assessments for allocation of suppression resources, and help clarify the growing transboundary nature of local air quality.</t>
  </si>
  <si>
    <t>Naqvi, HR; Mutreja, G; Shakeel, A; Singh, K; Abbas, K; Naqvi, DF; Chaudhary, AA; Siddiqui, MA; Gautam, AS; Gautam, S; Naqvi, AR</t>
  </si>
  <si>
    <t>Wildfire-induced pollution and its short-term impact on COVID-19 cases and mortality in California</t>
  </si>
  <si>
    <t>Wildfires; Air quality; Respiratory diseases; COVID-19 pandemic; California</t>
  </si>
  <si>
    <t>AIR-POLLUTION; CLIMATE; PNEUMONIA; EXPOSURE; MONOXIDE; QUALITY; FIRES; MODEL; LONG; TIME</t>
  </si>
  <si>
    <t>Globally, wildfires have seen remarkable increase in duration and size and have become a health hazard. In addition to vegetation and habitat destruction, rapid release of smoke, dust and gaseous pollutants in the atmosphere contributes to its short and long-term detrimental effects. Severe Acute Respiratory Syndrome Coronavirus 2 (SARS-CoV-2) has emerged as a public health concern worldwide that primarily target lungs and respiratory tract, akin to air pollutants. Studies from our lab and others have demonstrated association between air pollution and COVID-19 infection and mortality rates. However, current knowledge on the impact of wildfire-mediated sudden outburst of air pollutants on COVID-19 is limited. In this study, we examined the association of air pollutants and COVID-19 during wildfires burned during August-October 2020 in California, United States. We observed an increase in the tropospheric pollutants including aerosols (particulate matter [PM]), carbon monoxide (CO) and nitrogen dioxide (NO2) by approximately 150%, 100% and 20%, respectively, in 2020 compared to the 2019. Except ozone (O3), similar proportion of increment was noticed during the peak wildfire period (August 16 - September 15, 2020) in the ground PM2.5, CO, and NO2 levels at Fresno, Los Angeles, Sacramento, San Diego and San Francisco, cities with largest active wildfire area. We identified three different spikes in the concentrations of PM2.5, and CO for the cities examined clearly suggesting wildfire-induced surge in air pollution. Fresno and Sacramento showed increment in the ground PM2.5, CO and NO2 levels, while San Diego recorded highest change rate in NO2 levels. Interestingly, we observed a similar pattern of higher COVID-19 cases and mortalities in the cities with adverse air pollution caused by wildfires. These findings provide a logical rationale to strategize public health policies for future impact of COVID-19 on humans residing in geographic locations susceptible to sudden increase in local air pollution. (c) 2022 International Association for Gondwana Research. Published by Elsevier B.V. All rights reserved.</t>
  </si>
  <si>
    <t>Jung, EJ; Lim, AY; Kim, JH</t>
  </si>
  <si>
    <t>Decreased birth weight after prenatal exposure to wildfires on the eastern coast of Korea in 2000</t>
  </si>
  <si>
    <t>EPIDEMIOLOGY AND HEALTH</t>
  </si>
  <si>
    <t>Birth weight; Prenatal exposure; Trimester; Wildfire; Disaster; Korea</t>
  </si>
  <si>
    <t>CARBON-MONOXIDE; FIRE; TOXICITY; SMOKE</t>
  </si>
  <si>
    <t>OBJECTIVES: In April 2000, a series of wildfires occurred simultaneously in five adjacent small cities located on the eastern coast of Korea. These wildfires burned approximately 23,794 hectares of forestland over several days. We investigated the effects of prenatal exposure to the by-products generated by wildfire disasters on birth weight. METHODS: Birth weight data were obtained for 1999-2001 from the birth registration database of the Korean National Statis-tical Office and matched with the zip code and exposed/unexposed pregnancy week for days of the wildfires. Generalized linear models were then used to assess the associations between birth weight and exposure to wildfires after adjusting for fetal sex, gestational age, parity, maternal age, maternal education, paternal education, and average exposed atmospheric temperature. RESULTS: Compared with unexposed pregnancies before and after the wildfires, mean birth weight decreased by 41.4 g (95% confidence interval [CI],-72.4 to-10.4) after wildfire exposure during the first trimester, 23.2 g (95% CI,-59.3 to 13.0) for expo-sure during the second trimester, and 27.0 g (95% CI,-63.8 to 9.8) during the third trimester. In the adjusted model for infants exposed in utero during any trimester, the mean birth weight decreased by 32.5 g (95% CI,-53.2 to-11.7). CONCLUSIONS: We observed a 1% reduction in birth weight after wildfire exposure. Thus, exposure to by-products gener-ated during a wildfire disaster during pregnancy may slow fetal growth and cause developmental delays.</t>
  </si>
  <si>
    <t>Smith, ML; Chi, GQ</t>
  </si>
  <si>
    <t>Spatial proximity to wildfires as a proxy for measuring PM2.5: A novel method for estimating exposures in rural settings</t>
  </si>
  <si>
    <t>Climate change; Human health; Asthma; Alaska</t>
  </si>
  <si>
    <t>PARENTAL SMOKING; AIR-POLLUTION; HEALTH; ASSOCIATIONS</t>
  </si>
  <si>
    <t>Background: : Climate change impacts humans and society both directly and indirectly. Alaska, for example, is warming twice as fast as the global mean, and researchers are starting to grapple with the varied and interconnected ways in which climate change affects the people there. With the number of wildfires increasing in Alaska as a result of climate change, the number of asthma cases has increased, driven by exposure to small particulate matter. However, it is not clear how far away smoke from wildfires can affect health. In this study, we hope to establish a relationship between proximity to wildfires and asthma in locations where direct PM 2.5 measurement is not easily accomplished. Methods: : In this study, we examined whether proximity to wildfire exposure is associated with regional counts of adults with asthma, calculated using Behavioral Risk Factor Surveillance System (BRFSS) survey data and US Census data. We assigned hotspots around population centers with a range of various distances to wildfires in Alaska. Results: : We found that wildfires are associated with asthma prevalence, and the association is strongest within 25 miles of fires. Conclusions: : This study highlights the fact that proximity to wildfires has potential as a simple proxy for actual measured wildfire smoke, which has important implications for wildfire management agencies and for policy makers who must address health issues associated with wildfires, especially in rural areas. (c) 2023 The Authors. Published by Elsevier Masson SAS. This is an open access article under the CC BY-NC-ND license (http://creativecommons.org/licenses/by-nc-nd/4.0/)</t>
  </si>
  <si>
    <t>Meng, YY; Yu, Y; Al-Hamdan, MZ; Marlier, ME; Wilkins, JL; Garcia-Gonzales, D; Chen, X; Jerrett, M</t>
  </si>
  <si>
    <t>Short-Term total and wildfire fine particulate matter exposure and work loss in California</t>
  </si>
  <si>
    <t>Air pollution; Particulate matter; Wildfire; Work loss due to sickness</t>
  </si>
  <si>
    <t>AIR-POLLUTION; HEALTH IMPACTS; CARDIOVASCULAR-DISEASE; OZONE; QUALITY; SMOKE; PRODUCTIVITY; MORBIDITY; FIRES; PM2.5</t>
  </si>
  <si>
    <t>Background: Few studies investigated the impact of particulate matter (PM2.5) on some symptom exacerbations that are not perceived as severe enough to search for medical assistance. We aimed to study the association of short-term daily total PM2.5 exposure with work loss due to sickness among adults living in California.Methods: We included 44,544 adult respondents in the workforce from 2015 to 2018 California Health Interview Survey data. Daily total PM2.5 concentrations were linked to respondents' home addresses from continuous spatial surfaces of PM2.5 generated by a geostatistical surfacing algorithm. We estimated the effect of a 2-week average of daily total PM2.5 exposure on work loss using logistic regression models.Results: About 1.69% (weighted percentage) of adult respondents reported work loss in the week before the survey interview. The odds ratio of work loss was 1.45 (odds ratio [OR] = 1.45, 95% confidence interval [CI]: 1.03, 2.03) when a 2-week average of daily total PM2.5 exposure was higher than 12 &amp; mu;g/m3. The OR for work loss was 1.05 (95% CI: 0.98, 1.13) for each 2.56ug/m3 increase in the 2-week average of daily total PM2.5 exposure, and became stronger among those who were highly exposed to wildfire smoke (OR = 1.06, 95% CI: 1.00, 1.13), compared to those with lower wildfire smoke exposure (OR = 1.04, 95% CI: 0.79, 1.39).Conclusions: Our findings suggest that short-term ambient PM2.5 exposure is positively associated with work loss due to sickness and the association was stronger among those with higher wildfire smoke exposure. It also indicated that the current federal and state PM2.5 standards (annual average of 12 &amp; mu;g/m3) could be further strengthened to protect the health of the citizens of California.</t>
  </si>
  <si>
    <t>Zhang, YW; Ye, TT; Yu, P; Xu, RB; Chen, GB; Yu, WH; Song, JN; Guo, YM; Li, SS</t>
  </si>
  <si>
    <t>Preterm birth and term low birth weight associated with wildfire-specific PM2.5: A cohort study in New South Wales, Australia during 2016-2019</t>
  </si>
  <si>
    <t>Preterm birth; Term low birth weight; Wildfire; Air pollution; Cohort study</t>
  </si>
  <si>
    <t>FINE PARTICULATE MATTER; AMBIENT-TEMPERATURE; AIR-POLLUTION; DNA-DAMAGE; EXPOSURE; OUTCOMES; PREGNANCY; DELIVERY; CHINA; RISK</t>
  </si>
  <si>
    <t>Background: Exposure to wildfire smoke has been linked with a range of health outcomes. However, to date, evidence is limited for the association between wildfire-specific PM2.5, a primary emission of wildfire smoke, and adverse birth outcomes.Objective: We aimed to estimate the risk and burden of preterm birth/term low birth weight, associated with maternal exposure to wildfire-specific PM2.5.Methods: A total of 330,884 birth records with maternal information were collected from the New South Wales Australia from 2015 to 2019, covering 523 residential communities. Daily wildfire-specific PM2.5 at a 0.25 degrees x 0.25 degrees (approximate to 25 km x 25 km) resolution was estimated by a machine learning method combining 3-D chemical transport model (GEOS-Chem) and reanalysis meteorological data. Cox proportional hazards models were implemented to evaluate the association between wildfire-specific PM2.5 and preterm birth/term low birth weight. Number and fraction of preterm birth/term low birth weight attributable to wildfire-specific PM2.5 during pregnancy were calculated.Results: Per one interquartile-range rise in wildfire-specific PM2.5 was found to be associated with 6.9% (HR: 1.069, 95% CI: 1.058-1.081) increased risk of preterm birth and 3.6% (HR: 1.036, 95% CI: 1.014-1.058) higher risk of term low birth weight. The most susceptible gestational window was the 2nd trimester for preterm birth whereas the 1st for term low birth weight. We estimated that 14.30% preterm births and 8.04% term low birth weight cases were attributable to maternal exposure to wildfire-specific PM2.5 during the whole pregnancy. Male infants and mothers aged &gt;= 40, experiencing temperature extremes or living in the inner region, and concepted during spring had higher risks of preterm birth/term low birth weight associated with wildfire-specific PM2.5. Comparatively, mothers with advanced age have a higher risk of preterm birth while younger mothers were more likely to deliver term newborns with low birth weight, when being exposed to wildfire-specific PM2.5. Pregnancy - induced hypertension enhanced the risk of preterm birth associated with wildfire-specific PM2.5.Conclusions: This study strengthened robust evidence on the enhanced risk of preterm birth/term low birth weight associated with maternal exposure to wildfire-specific PM2.5. In light of higher frequency and intensity of wildfire occurrences globally, more special attention should be paid to pregnant women by policy makers.</t>
  </si>
  <si>
    <t>Elser, H; Rowland, ST; Marek, MS; Kiang, MV; Shea, B; Do, V; Benmarhnia, T; Schneider, ALC; Casey, JA</t>
  </si>
  <si>
    <t>Wildfire smoke exposure and emergency department visits for headache: A case-crossover analysis in California, 2006-2020</t>
  </si>
  <si>
    <t>case-crossover analysis; fine particulate matter of &lt; 2.5 mu m (PM2); headache; wildfires</t>
  </si>
  <si>
    <t>PARTICULATE AIR-POLLUTION; SUBTROPICAL CITY TAIPEI; DAILY CLINIC VISITS; ANTHROPOGENIC CLIMATE-CHANGE; UNITED-STATES; MIGRAINE; MORTALITY; HEALTH; RISK; PREVALENCE</t>
  </si>
  <si>
    <t>Objective: To evaluate the association of short-term exposure to overall fine particulate matter of &lt; 2.5 mu m (PM2.5) and wildfire-specific PM2.5 with emergency department (ED) visits for headache. Background: Studies have reported associations between PM2.5 exposure and headache risk. As climate change drives longer and more intense wildfire seasons, wildfire PM2.5 may contribute to more frequent headaches. Methods: Our study included adult Californian members (aged &gt;= 18 years) of a large de-identified commercial and Medicare Advantage claims database from 2006 to 2020. We identified ED visits for primary headache disorders (subtypes: tension-type headache, migraine headache, cluster headache, and other  primary headache). Claims included member age, sex, and residential zip code. We linked daily overall and wildfire-specific PM2.5 to residential zip code and conducted a time-stratified case-crossover analysis considering 7-day average PM2.5 concentrations, first for primary headache disorders combined, and then by headache subtype. Results: Among 9898 unique individuals we identified 13,623 ED encounters for primary headache disorders. Migraine was the most frequently diagnosed headache (N = 5534/13,623 [47.6%]) followed by other primary headache (N = 6489/13,623 [40.6%]). For all primary headache ED diagnoses, we observed an association of 7-day average wildfire PM2.5 (odds ratio [OR] 1.17, 95% confidence interval [CI] 0.95-1.44 per 10 mu g/m(3) increase) and by subtype we observed increased odds of ED visits associated with 7-day average wildfire PM2.5 for tension-type headache (OR 1.42, 95% CI 0.91-2.22), other  primary headache (OR 1.40, 95% CI 0.96-2.05), and cluster headache (OR 1.29, 95% CI 0.71-2.35), although these findings were not statistically significant under traditional null hypothesis testing. Overall PM2.5 was associated with tension-type headache (OR 1.29, 95% CI 1.03-1.62), but not migraine, cluster, or other  primary headaches. Conclusions: Although imprecise, these results suggest short-term wildfire PM2.5 exposure may be associated with ED visits for headache. Patients, healthcare providers, and systems may need to respond to increased headache-related healthcare needs in the wake of wildfires and on poor air quality days.</t>
  </si>
  <si>
    <t>Yu, SY; Hsueh, LLY</t>
  </si>
  <si>
    <t>Do wildfires exacerbate COVID-19 infections and deaths in vulnerable communities? Evidence from California</t>
  </si>
  <si>
    <t>Wildfires; COVID-19 infections and deaths; Public housing and shelters; Healthcare resources; Social vulnerability; Environmental justice</t>
  </si>
  <si>
    <t>SOCIAL VULNERABILITY; HEALTH; IMPACT</t>
  </si>
  <si>
    <t>Understanding whether and how wildfires exacerbate COVID-19 outcomes is important for assessing the efficacy and design of public sector responses in an age of more frequent and simultaneous natural disasters and extreme events. Drawing on environmental and emergency management literatures, we investigate how wildfire smoke (PM2.5) impacted COVID-19 infections and deaths during California's 2020 wildfire season and how public housing resources and hospital capacity moderated wildfires' effects on COVID-19 outcomes. We also hypoth-esize and empirically assess the differential impact of wildfire smoke on COVID-19 infections and deaths in counties exhibiting high and low social vulnerability. To test our hypotheses concerning wildfire severity and its disproportionate impact on COVID-19 outcomes in socially vulnerable communities, we construct a county-by-day panel dataset for the period April 1 to November 30, 2020, in California, drawing on publicly available state and federal data sources. This study's empirical results, based on panel fixed effects models, show that wildfire smoke is significantly associated with increases in COVID-19 infections and deaths. Moreover, wildfires exac-erbated COVID-19 outcomes by depleting the already scarce hospital and public housing resources in local communities. Conversely, when wildfire smoke doubled, a one percent increase in the availability of hospital and public housing resources was associated with a 2 to 7 percent decline in COVID-19 infections and deaths. For California communities exhibiting high social vulnerability, the occurrence of wildfires worsened COVID-19 outcomes. Sensitivity analyses based on an alternative sample size and different measures of social vulnera-bility validate this study's main findings. An implication of this study for policymakers is that communities exhibiting high social vulnerability will greatly benefit from local government policies that promote social equity in housing and healthcare before, during, and after disasters.</t>
  </si>
  <si>
    <t>Darling, R; Hansen, K; Aguilera, R; Basu, R; Benmarhnia, T; Letellier, N</t>
  </si>
  <si>
    <t>The Burden of Wildfire Smoke on Respiratory Health in California at the Zip Code Level: Uncovering the Disproportionate Impacts of Differential Fine Particle Composition</t>
  </si>
  <si>
    <t>ANTHROPOGENIC CLIMATE-CHANGE; EMERGENCY-DEPARTMENT VISITS; PARTICULATE AIR-POLLUTION; FIRE SMOKE; WESTERN US; EXPOSURE; ASSOCIATIONS; MATTER</t>
  </si>
  <si>
    <t>Wildfires constitute a growing source of extremely high levels of particulate matter that is less than 2.5 microns in diameter (PM2.5). Recently, toxicologic and epidemiologic studies have shown that PM2.5 generated from wildfires may have a greater health burden than PM2.5 generated from other pollutant sources. This study examined the impact of PM2.5 on hospitalizations for respiratory diseases in California between 2006 and 2019 using a health impact assessment approach that considers differential concentration-response functions (CRF) for PM2.5 from wildfire and non-wildfire sources of emissions. We quantified the burden of respiratory hospitalizations related to PM2.5 exposure at the zip code level through two different approaches: (a) naive (considering the same CRF for all PM2.5 emissions) and (b) nuanced (considering different CRFs for PM2.5 from wildfires and from other sources). We conducted a Geographically Weighted Regression to analyze spatially varying relationships between the delta (i.e., the difference between the naive and nuanced approaches) and the Centers for Disease Control and Prevention's Social Vulnerability Index (SVI). A higher attributable number of respiratory hospitalizations was found when accounting for the larger health burden of wildfire PM2.5. We found that, between 2006 and 2019, the number of hospitalizations attributable to PM2.5 may have been underestimated by approximately 13% as a result of not accounting for the higher CRF of wildfire-related PM2.5 throughout California. This underestimation was higher in northern California and areas with higher SVI rankings. The relationship between delta and SVI varied spatially across California. These findings can be useful for updating future air pollution guideline recommendations.</t>
  </si>
  <si>
    <t>Pinaev, SK; Venevsky, S; Chakov, VV; Tian, L; Gong, P; Kaprin, AD; Starinsky, VV; Aya, C; Pinaeva, OG</t>
  </si>
  <si>
    <t>POSSIBLE LINKS OF WILDFIRES WITH ONCOLOGICAL DISEASES OF CHILDREN AND ADULTS IN THE RUSSIAN FAR EAST</t>
  </si>
  <si>
    <t>BULLETIN OF RUSSIAN STATE MEDICAL UNIVERSITY</t>
  </si>
  <si>
    <t>wildfires; cancer incidence; ARIMA analysis; Far Eastern Federal district of Russian Federation</t>
  </si>
  <si>
    <t>MORTALITY; CANCER; SMOKE</t>
  </si>
  <si>
    <t>Russian Federal Far East District is a continental scale area where wildfires are frequent. We aimed to a) determine whether wildfires are related statistically to cancer for children and adults in the Russian Federal Far East District (FFED); b) to estimate time lags of such relationships and c) to find out which age groups are most vulnerable for wildfires. Annual number of fires (NF) in administrative units (AUs), normalized to the maximum value for all AUs in observation period 1992-2019, was taken as a characteristic of wildfires in our analysis. Annual cancer incidence (CI) for five cancer types for children up to 14 years and the entire population, normalized similarly to NF, was compared to normalized NF. ARIMA models were used for time series analysis for the period 1992-2019. Linear statistical analysis was done for NF and CI for short time series (10-12 years) for the central AU of FFED for children up to 4 years; Three additional embryonal types of cancer and five benign types of tumors were also focused in linear statistical analysis. ARIMA analysis revealed 27 associations between NF and CI with a lag from 0 to 3 years for two age groups, and five cancer types (p-values between 0.002 and 0.1). Linear statistical analysis for children up to 4 years revealed correlations for two from three embryonal types of cancer and three from five benign tumors (0.002 &lt; p &lt; 0.046). Incidences of hematopoietic, lymphoid, vascular, and soft tissue neoplasms, as well as CNS tumors had associations with wildfires for children up to 4 years, for children up to 14 years and the entire population age groups in many cases. Entire population and children up to 4 years in the central AU of FFED are most sensitive to wildfire - cancer interactions. Associations number of fires - cancer incidence as a rule have time lags from 0 to 3 years.</t>
  </si>
  <si>
    <t>Zhang, DL; Xi, YZ; Boffa, DJ; Liu, Y; Nogueira, LM</t>
  </si>
  <si>
    <t>Association of Wildfire Exposure While Recovering From Lung Cancer Surgery With Overall Survival</t>
  </si>
  <si>
    <t>JAMA ONCOLOGY</t>
  </si>
  <si>
    <t>WILDLAND FIRE SMOKE; ANTHROPOGENIC CLIMATE-CHANGE; WESTERN UNITED-STATES; HEALTH IMPACTS; AIR-POLLUTION; EMISSIONS</t>
  </si>
  <si>
    <t>Oncology</t>
  </si>
  <si>
    <t>IMPORTANCE With a changing climate, wildfire activity in the US has increased dramatically, presenting multifaceted and compounding health hazards. Individuals discharged from the hospital following surgical resection of non-small cell lung cancer (NSCLC) are potentially at higher risk from wildfires' health hazards. OBJECTIVE To assess the association between wildfire exposure and postoperative long-term overall survival among patients with lung cancer in the US. DESIGN, SETTING, AND PARTICIPANTS In this cohort study, individuals who underwent curative-intent NSCLC resection between January 1, 2004, and December 31, 2019, were selected from the National Cancer Database. Daily wildfire information was aggregated at the zip code level from the National Aeronautics and Space Administration Fire Information for Resource Management System. The data analysis was performed between July 19, 2022, and April 14, 2023. EXPOSURE An active wildfire detected at the zip code of residence between 0 and 3, 4 and 6, or 7 and 12 months after NSCLC surgery. MAIN OUTCOME Overall survival was defined as the interval between age at hospital discharge and age at death, last contact, or study end, whichever came first. Cox proportional hazards were used for estimating hazard ratios (HRs) adjusted for sex, region, metropolitan category, health insurance type, comorbidities, tumor size, lymph node involvement, era, and facility type. RESULTS A total of 466 912 individuals included in the study (249 303 female and [53.4] and 217 609 male [46.6%]; mean [SD] age at diagnosis, 67.3 [9.9] years), with 48 582 (10.4%) first exposed to a wildfire between 0 and 3 months, 48 328 (10.6%) between 4 and 6 months, and 71 735 (15.3%) between 7 and 12 months following NSCLC surgery. Individuals exposed to a wildfire within 3 months (adjusted HR [AHR], 1.43; 95% CI, 1.41-1.45), between 4 and 6 months (AHR, 1.39; 95% CI, 1.37-1.41), and between 7 and 12 months (AHR, 1.17; 95% CI, 1.15-1.19) after discharge from the hospital following stage I to III NSCLC resection had worse overall survival than unexposed individuals. CONCLUSIONS In this cohort study, wildfire exposure was associated with worse overall survival following NSCLC surgical resection, suggesting that patients with lung cancer are at greater risk from the health hazards of wildfires and need to be prioritized in climate adaptation efforts.</t>
  </si>
  <si>
    <t>Lorenz, C; Libonati, R; Belem, LBC; Oliveira, A; Chiaravalloti, RM; Nunes, AV; Batista, EKL; Fernandes, GW; Chiaravalloti-Neto, F; Damasceno-Junior, GA; Berlinck, CN; Roque, FO</t>
  </si>
  <si>
    <t>Wildfire and smoke association with COVID-19 cases in the Pantanal wetland, Brazil</t>
  </si>
  <si>
    <t>PUBLIC HEALTH</t>
  </si>
  <si>
    <t>Respiratory diseases; Socio-ecological; PM2.5; Temperature; Humidity; SARS-CoV-2</t>
  </si>
  <si>
    <t>INCOME INEQUALITY; TEMPERATURE; HUMIDITY; HEALTH; MORTALITY; PM2.5</t>
  </si>
  <si>
    <t>Objectives: In 2020, Brazil experienced two concurrent public health challenges related to respiratory disease: wildfires and increased mortality due to the coronavirus (COVID-19) pandemic. Smoke from these wildfires contributed to a variety of air pollutants, including fine particulate matter (PM2.5). The present study aims to investigate the effects of environmental and socio-economic factors on COVID-19 hospitalisation in the Pantanal.Study design: Ecological retrospective study.Methods: We applied a multilevel negative binomial model to relate monthly hospitalisation data with environmental variables.Results: We showed that monthly PM2.5 concentration levels had the greatest influence on the increase in hospitalisations by COVID-19 in the elderly (23 % increase). The Gini index, a coefficient that reflects income inequalities, also had a positive association with COVID-19 hospitalisations (18 % increase). Higher temperatures and humidity were protective factors, showing a 15 % and 14 % decrease in hos-pitalisations, respectively. The results of the present study suggest that high PM2.5 exposure contributed to the increase in COVID-19 hospitalisations, as did the social inequalities of each municipality.Conclusions: The present study highlights the importance of gathering evidence supported by multiple information sources to guide decision-making and identify populations needing better public health systems.(c) 2023 The Royal Society for Public Health. Published by Elsevier Ltd. All rights reserved.</t>
  </si>
  <si>
    <t>Davis, D; Roberts, C; Williamson, R; Kurz, E; Barnes, K; Behie, AM; Aroni, R; Nolan, CJ; Phillips, C</t>
  </si>
  <si>
    <t>Opportunities for primary health care: a qualitative study of perinatal health and wellbeing during bushfire crises</t>
  </si>
  <si>
    <t>FAMILY PRACTICE</t>
  </si>
  <si>
    <t>bushfire; climate change; family practice; general practice; maternity care; newborn; pregnancy; primary care; smoke inhalation; wildfire</t>
  </si>
  <si>
    <t>Primary Health Care; Medicine, General &amp; Internal</t>
  </si>
  <si>
    <t>Background During the summer of 2019/2020, Australia experienced a catastrophic wildfire season that affected nearly 80% of Australians either directly or indirectly. The impacts of climate crisis on perinatal health have only recently begun to receive attention. The objective of this study was to understand experiences of perinatal women during the bushfire and smoke events of 2019-2020 regarding health, health care, and public health messaging. Methods Semistructured interviews were conducted by phone or web conferencing platforms with 43 participants living in the south-east of Australia who were either pregnant or who had recently had a baby during the 2019/2020 fires. Results The health impacts on participants of the fires, associated smoke, and evacuations for some, were both physical and psychological. Many participants sought information regarding how to protect their own health and that of their unborn/recently born children, but reported this difficult to find. Conclusions Pregnant women and new mothers exposed to bushfire events are a risk group for adverse physical and psychological outcomes. At the time of the 2019/2020 Australian bushfires, exposed women could not easily access evidence-based information to mitigate this risk. Family practitioners are well placed to provide pregnant women and new mothers with this sought-after information, but they need to be prepared well in advance of future similar events.</t>
  </si>
  <si>
    <t>Mulliken, JS; Hampshire, KN; Rappold, AG; Fung, M; Babik, JM; Doernberg, SB</t>
  </si>
  <si>
    <t>Risk of systemic fungal infections after exposure to wildfires: a population-based, retrospective study in California</t>
  </si>
  <si>
    <t>FIRE SMOKE; IMPACTS</t>
  </si>
  <si>
    <t>Background Large-scale wildfires in California, USA, are increasing in both size and frequency, with substantial health consequences. The capacity for wildfire smoke to displace microbes and cause clinically significant fungal infections is poorly understood. We aimed to determine whether exposure to wildfire smoke was associated with an increased risk of hospital admissions for systemic fungal infections. Methods In this population-based, retrospective study, we used hospital administrative data from 22 hospitals in California, USA, to analyse the association between wildfire smoke exposure and monthly hospital admissions for aspergillosis and coccidioidomycosis. We included hospitals that were members of the Vizient Clinical Data Base or Resource Manager during the study and excluded those that did not have complete reporting into Vizient during the study period. Smoke exposure was estimated using satellite-imaged smoke plumes in the hospital county. Incident rate ratios were calculated for all infection types 1 month and 3 months after smoke exposure. Findings Between Oct 1, 2014, and May 31, 2018, there were a median of 1638 annual admissions per hospital in the study sample. Individual patient demographics were not collected. We did not observe an association between smoke exposure and rate of hospital admission for aspergillosis. However, hospital admission for coccidioidomycosis increased by 20% (95% CI 5-38) in the month following any smoke exposure. Hospital admission increased by 2% (0-4) for every day that there had been smoke exposure in the previous month, after adjustment for temperature and temporal trend. Similar results were obtained with smoke exposure data from the 3 months before admission. Interpretation In the months following wildfire smoke exposure, California hospitals saw increased coccidioidomycosis infections. Given the projected increase in California wildfires and their expansion in endemic territories of soil-dwelling fungi, the ability for wildfire smoke to carry microbes and cause human disease warrants further research. Copyright (C) 2023 The Author(s). Published by Elsevier Ltd. This is an Open Access article under the CC BY 4.0 license.</t>
  </si>
  <si>
    <t>Wei, J; Wang, J; Li, ZQ; Kondragunta, S; Anenberg, S; Wang, Y; Zhang, HX; Diner, D; Hand, J; Lyapustin, A; Kahn, R; Colarco, P; da Silva, A; Ichoku, C</t>
  </si>
  <si>
    <t>Long-term mortality burden trends attributed to black carbon and PM25 from wildfire emissions across the continental USA from 2000 to 2020: a deep learning modelling study</t>
  </si>
  <si>
    <t>UNITED-STATES; PM2.5 CONCENTRATIONS; CLIMATE-CHANGE; AIR-POLLUTION; AMBIENT PM2.5; HEALTH; EXPOSURE; AEROSOL; IMPACT</t>
  </si>
  <si>
    <t>Background Long-term improvements in air quality and public health in the continental USA were disrupted over the past decade by increased fire emissions that potentially offset the decrease in anthropogenic emissions. This study aims to estimate trends in black carbon and PM2 center dot 5 concentrations and their attributable mortality burden across the USA. Methods In this study, we derived daily concentrations of PM2 center dot 5 and its highly toxic black carbon component at a 1-km resolution in the USA from 2000 to 2020 via deep learning that integrated big data from satellites, models, and surface observations. We estimated the annual PM2 center dot 5-attributable and black carbon-attributable mortality burden at each 1-km2 grid using concentration-response functions collected from a national cohort study and a meta-analysis study, respectively. We investigated the spatiotemporal linear-regressed trends in PM2 center dot 5 and black carbon pollution and their associated premature deaths from 2000 to 2020, and the impact of wildfires on air quality and public health. Findings Our results showed that PM2 center dot 5 and black carbon estimates are reliable, with sample-based cross-validated coefficients of determination of 0 center dot 82 and 0 center dot 80, respectively, for daily estimates (0 center dot 97 and 0 center dot 95 for monthly estimates). Both PM2 center dot 5and black carbon in the USA showed significantly decreasing trends overall during 2000 to 2020 (22% decrease for PM2 center dot 5and 11% decrease for black carbon), leading to a reduction of around 4200 premature deaths per year (95% CI 2960-5050). However, since 2010, the decreasing trends of fine particles and premature deaths have reversed to increase in the western USA (55% increase in PM2 center dot 5, 86% increase in black carbon, and increase of 670 premature deaths [460-810]), while remaining mostly unchanged in the eastern USA. The western USA showed large interannual fluctuations that were attributable to the increasing incidence of wildfires. Furthermore, the black carbon-to-PM2 center dot 5 mass ratio increased annually by 2 center dot 4% across the USA, mainly due to increasing wildfire emissions in the western USA and more rapid reductions of other components in the eastern USA, suggesting a potential increase in the relative toxicity of PM2 center dot 5. 100% of populated areas in the USA have experienced at least one day of PM2 center dot 5 pollution exceeding the daily air quality guideline level of 15 jig/m3 during 2000-2020, with 99% experiencing at least 7 days and 85% experiencing at least 30 days. The recent widespread wildfires have greatly increased the daily exposure risks in the western USA, and have also impacted the midwestern USA due to the long-range transport of smoke. Interpretation Wildfires have become increasingly intensive and frequent in the western USA, resulting in a significant increase in smoke-related emissions in populated areas. This increase is likely to have contributed to a decline in air quality and an increase in attributable mortality. Reducing fire risk via effective policies besides mitigation of climate warming, such as wildfire prevention and management, forest restoration, and new revenue generation, could substantially improve air quality and public health in the coming decades. Funding National Aeronautics and Space Administration (NASA) Applied Science programme, NASA MODIS maintenance programme, NASA MAIA satellite mission programme, NASA GMAO core fund, National Oceanic and Atmospheric Administration (NOAA) GEO-XO project, NOAA Atmospheric Chemistry, Carbon Cycle, and Climate (AC4) programme, and NOAA Educational Partnership Program with Minority Serving Institutions.</t>
  </si>
  <si>
    <t>Linde, LR; Readhead, A; Barry, PM; Balmes, JR; Lewnard, JA</t>
  </si>
  <si>
    <t>Tuberculosis Diagnoses FollowingWildfire Smoke Exposure in California</t>
  </si>
  <si>
    <t>tuberculosis; air pollution; outdoor air pollution; wildfires; climate change</t>
  </si>
  <si>
    <t>ANTHROPOGENIC CLIMATE-CHANGE; INDOOR AIR-POLLUTION; PULMONARY TUBERCULOSIS; TOBACCO-SMOKE; WILDFIRE; SUSCEPTIBILITY; ASSOCIATION; IMPACTS; DISEASE</t>
  </si>
  <si>
    <t>Rationale: Wildfires are a significant cause of exposure to ambient air pollution in the United States and other settings. Although indoor air pollution is a known contributor to tuberculosis reactivation and progression, it is unclear whether ambient pollution exposures, including wildfire smoke, similarly increase risk. Objectives: To determine whether tuberculosis diagnosis was associated with recent exposure to acute outdoor air pollution events, including those caused by wildfire smoke. Methods: We conducted a case-crossover analysis of 6,238 patients aged &gt;= 15 years diagnosed with active tuberculosis disease between 2014 and 2019 in 8 California counties. Using geocoded address data, we characterized individuals' daily exposure to,2.5 mu m-diameter particulate matter (PM2.5) during counterfactual risk periods 3-6 months before tuberculosis diagnosis (hazard period) and the same time 1 year previously (control period). We compared the frequency of residential PM2.5 exposures exceeding 35 mu g/m(3) (PM2.5 events) overall and for wildfire-associated and nonwildfire events during individuals' hazard and control periods. Measurements and Main Results: In total, 3,139 patients experienced 1 or more PM2.5 events during the hazard period, including 671 experiencing 1 or more wildfire-associated events. Adjusted odds of tuberculosis diagnosis increased by 5% (95% confidence interval, 3-6%) with each PM2.5 event experienced over the 6-month observation period. Each wildfire-associated PM2.5 event was associated with 23% (19-28%) higher odds of tuberculosis diagnosis in this time window, whereas no association was apparent for nonwildfire-associated events. Conclusions: Residential exposure to wildfire-associated ambient air pollution is associated with an increased risk of active tuberculosis diagnosis.</t>
  </si>
  <si>
    <t>Leviston, Z; Stanley, SK; Rodney, RM; Walker, I; Reynolds, J; Christensen, BK; Monaghan, C; Calear, AL; Lal, A; Lane, J; Vardoulakis, S</t>
  </si>
  <si>
    <t>Solastalgia mediates between bushfire impact and mental health outcomes: A study of Australia's 2019-2020 bushfire season</t>
  </si>
  <si>
    <t>JOURNAL OF ENVIRONMENTAL PSYCHOLOGY</t>
  </si>
  <si>
    <t>Solastalgia; Ecological grief; Bushfire; Wildfire; Disaster recovery; Mental health</t>
  </si>
  <si>
    <t>PSYCHOLOGICAL DISTRESS; SMOKE; NEED</t>
  </si>
  <si>
    <t>Environmental Studies; Psychology, Multidisciplinary</t>
  </si>
  <si>
    <t>In 2019-2020, Australia experienced an unprecedented bushfire season that caused widespread environmental destruction across the continent, and especially to its south-east corner. Over two studies, we examine mental health outcomes of individuals impacted by bushfire, drawing on the concept of solastalgia - the sense of distress arising from unwanted environmental change - as a potential explanation for the mental health consequences of bushfire. In Study 1, we surveyed 2084 residents from the Australian Capital Territory and surrounding regions directly after the bushfire season. Participants were asked about exposure to the 2019-2020 bushfires, and to a previous regional fire of significance, experience of solastalgia, and five mental health indicators. In Study 2, we broaden our focus to all of Australia, and administer our measures with a nationally representative sample six months after the conclusion of the bushfire season (N = 1477). In both studies, we find the severity of reported bushfire impact is significantly associated with mental health, such that greater impact predicts poorer outcomes. Moreover, we find the experience of solastalgia mediates the relationship between bushfire impact and mental health and wellbeing. Experiencing solastalgia is a partial, but important, mechanism for understanding the impact of bushfire exposure on mental health and wellbeing. Importantly, people not directly impacted by a bushfire event also experience solastalgia and subsequent poorer mental health outcomes following bushfires. We suggest that future measurements of the impact of abrupt environmental change events, including bushfires, consider the role of solastalgia and localised environmental contexts in shaping the mental health impacts to the population.</t>
  </si>
  <si>
    <t>Raab, H; Moyer, J; Afrin, S; Garcia-Menendez, F; Ward-Caviness, CK</t>
  </si>
  <si>
    <t>Prescribed fires, smoke exposure, and hospital utilization among heart failure patients</t>
  </si>
  <si>
    <t>Prescribed fires; Smoke exposure; Hospitalizations; Heart failure</t>
  </si>
  <si>
    <t>LONG-TERM EXPOSURE; AIR-POLLUTION; PARTICULATE MATTER; DAILY MORTALITY; HEALTH; ADMISSIONS; IMPACTS; FIREFIGHTERS; ASSOCIATION; WILDFIRES</t>
  </si>
  <si>
    <t>BackgroundPrescribed fires often have ecological benefits, but their environmental health risks have been infrequently studied. We investigated associations between residing near a prescribed fire, wildfire smoke exposure, and heart failure (HF) patients' hospital utilization.MethodsWe used electronic health records from January 2014 to December 2016 in a North Carolina hospital-based cohort to determine HF diagnoses, primary residence, and hospital utilization. Using a cross-sectional study design, we associated the prescribed fire occurrences within 1, 2, and 5 km of the patients' primary residence with the number of hospital visits and 7- and 30-day readmissions. To compare prescribed fire associations with those observed for wildfire smoke, we also associated zip code-level smoke density data designed to capture wildfire smoke emissions with hospital utilization amongst HF patients. Quasi-Poisson regression models were used for the number of hospital visits, while zero-inflated Poisson regression models were used for readmissions. All models were adjusted for age, sex, race, and neighborhood socioeconomic status and included an offset for follow-up time. The results are the percent change and the 95% confidence interval (CI).ResultsAssociations between prescribed fire occurrences and hospital visits were generally null, with the few associations observed being with prescribed fires within 5 and 2 km of the primary residence in the negative direction but not the more restrictive 1 km radius. However, exposure to medium or heavy smoke (primarily from wildfires) at the zip code level was associated with both 7-day (8.5% increase; 95% CI = 1.5%, 16.0%) and 30-day readmissions (5.4%; 95% CI = 2.3%, 8.5%), and to a lesser degree, hospital visits (1.5%; 95% CI: 0.0%, 3.0%) matching previous studies.ConclusionsArea-level smoke exposure driven by wildfires is positively associated with hospital utilization but not proximity to prescribed fires.</t>
  </si>
  <si>
    <t>Jegasothy, E; Hanigan, IC; Van Buskirk, J; Morgan, GG; Jalaludin, B; Johnston, FH; Guo, YM; Broome, RA</t>
  </si>
  <si>
    <t>Acute health effects of bushfire smoke on mortality in Sydney, Australia</t>
  </si>
  <si>
    <t>Bushfire; Wildfire; Air pollution; Pm2; 5; Mortality; Time series</t>
  </si>
  <si>
    <t>AIR-POLLUTION EVENTS; HOSPITAL ADMISSIONS; TIME-SERIES; ASSOCIATIONS; PARTICLES; CITIES; PM2.5; FINE</t>
  </si>
  <si>
    <t>Background: Bushfire smoke is a major ongoing environmental hazard in Australia. In the summer of 2019-2020 smoke from an extreme bushfire event exposed large populations to high concentrations of particulate matter (PM) pollution. In this study we aimed to estimate the effect of bushfire-related PM of less than 2.5 mu m in diameter (PM2.5) on the risk of mortality in Sydney, Australia from 2010 to 2020.Methods: We estimated concentrations of PM2.5 for three subregions of Sydney from measurements at monitoring stations using inverse-distance weighting and cross-referenced extreme days (95th percentile or above) with satellite imagery to determine if bushfire smoke was present. We then used a seasonal and trend decomposition method to estimate the Non-bushfire PM2.5 concentrations on those days. Daily PM2.5 concentrations above the Non-bushfire concentrations on bushfire smoke days were deemed to be Bushfire PM2.5. We used distributed-lag non-linear models to estimate the effect of Bushfire and Non-bushfire PM2.5 on daily counts of mortality with sub -analyses by age. These models controlled for seasonal trends in mortality as well as daily temperature, day of week and public holidays.Results: Within the three subregions, between 110 and 134 days were identified as extreme bushfire smoke days within the subregions of Sydney. Bushfire-related PM2.5 ranged from 6.3 to 115.4 mu g/m3. A 0 to 10 mu g/m3 in-crease in Bushfire PM2.5 was associated with a 3.2% (95% CI 0.3, 6.2%) increase in risk of all-cause death, cumulatively, in the 3 days following exposure. These effects were present in those aged 65 years and over, while no effect was observed in people under 65 years.Conclusion: Bushfire PM2.5 exposure is associated with an increased risk of mortality, particularly in those over 65 years of age. This increase in risk was clearest at Bushfire PM2.5 concentrations up to 30 mu g/m3 above background (Non-bushfire), with possible plateauing at higher concentrations of Bushfire PM2.5.</t>
  </si>
  <si>
    <t>Douglas-Vail, M; Jiang, AL; Erdelyi, S; Brubacher, JR; Abu-Laban, RB</t>
  </si>
  <si>
    <t>Association of air quality during forest fire season with respiratory emergency department visits in Vancouver, British Columbia</t>
  </si>
  <si>
    <t>Forest fires; Climate change; Emergency department</t>
  </si>
  <si>
    <t>WILDFIRE SMOKE; POLLUTION; ADMISSIONS</t>
  </si>
  <si>
    <t>Background: Climate change has been deemed the biggest global health threat of the 21st century. One consequence of climate change is the increasing frequency and severity of forest fires. Smoke from wildfires has the ability to negatively impact air quality over large distances. The aim of this study was to examine the association that air quality had on emergency department visits for cardiac, respiratory and psychiatric/ behavioral health chief complaints during forest fire season in Vancouver, British Columbia. Methods: The study period was January 1, 2009 - December 31, 2019. Forest fire season was defined as April 1- September 30. Air quality (measured by PM2.5 in ug/m3) was obtained from the Vancouver International Airport (YVR) Air Quality station. Emergency department visit data (CEDIS triage complaint) was acquired from a regional emergency department database. A generalized linear mixed model with Poisson link function was used to determine the relative risk (as a percentage) for respiratory, cardiac and psychiatric/behavioral health CEDIS triage complaints associated with a 10 unit increase in PM2.5. Results: PM2.5 during forest fire season was significantly associated with emergency department visits for respiratory chief complaints. For every 10 ug/m3 increase in PM2.5, there was a 4.61% (95% CI: 3.07, 6.17) increase in relative risk of respiratory chief complaints presenting to emergency departments. No association was found between PM2.5 and cardiac or psychiatric/behavioral health chief complaints during forest fire season or non-forest fire season. During non-forest fire season, PM2.5 was found to be negatively associated with respiratory (-3.57, 95% CI: -5.44, -1.66) and cardiac chief complaints (-2.77, 95% CI: -4.16, -1.47). Conclusion: Our results indicate a probable association between air quality during forest fire season and emergency department visits for respiratory chief complaints. This provides further illustration of the widespread impact of climate change, and underscores the importance of efforts to address it. (c) 2023 The Author(s). Published by Elsevier Masson SAS. This is an open access article under the CC BY-NC</t>
  </si>
  <si>
    <t>Schweizer, D; Preisler, H; Entwistle, M; Gharibi, H; Cisneros, R</t>
  </si>
  <si>
    <t>Using a Statistical Model to Estimate the Effect of Wildland Fire Smoke on Ground Level PM2.5 and Asthma in California, USA</t>
  </si>
  <si>
    <t>HMS smoke; particulate matter; respiratory; wildfire; asthma</t>
  </si>
  <si>
    <t>FINE PARTICULATE MATTER; PEAK EXPIRATORY FLOW; EMERGENCY-DEPARTMENT VISITS; STRATIFIED CASE-CROSSOVER; CLIMATE-CHANGE; SIERRA-NEVADA; AIR-POLLUTION; HEALTH; IMPACTS; QUALITY</t>
  </si>
  <si>
    <t>Forest fire activity has been increasing in California. Satellite imagery data along with ground level measurements of PM2.5 have been previously used to determine the presence and level of smoke. In this study, emergency room visits for asthma are explored for the impacts of wildland smoke over the entire state of California for the years 2008-2015. Smoke events included extreme high-intensity fire and smoke along with low and moderate smoke events. The presence of wildland fire smoke detected by remote sensing significantly increased fine particulate matter (PM2.5) and significantly increased the odds of exceeding expected concentrations of PM2.5 at ground level. Smoke observed above a monitoring site increases the chance of PM2.5 exceeding 35 mu g m(-3) (odds ratio 114 (87-150) when high levels of smoke are detected). The strength of association of an asthma emergency room visit is increased with higher PM2.5 concentrations. The odds ratios (OR) are highest for asthma hospital visits when daily mean PM2.5 concentrations experienced exceed 35 mu g m(-3) for multiple days (OR 1.38 (1.21-1.57) with 3 days). Nonetheless, on days with wildland fire smoke, the association of an emergency room visit for asthma due to PM2.5 is not observed. Further study is needed to confirm these findings and determine if this is a product of smoke avoidance and reduction of personal exposure during smoke episodes.</t>
  </si>
  <si>
    <t>Mcdonald, VM; Archbold, G; Beyene, T; Brew, BK; Franklin, P; Gibson, PG; Harrington, J; Hansbro, PM; Johnston, FH; Robinson, PD; Sutherland, M; Yates, D; Zosky, GR; Abramson, MJ</t>
  </si>
  <si>
    <t>Asthma and landscape fire smoke: A Thoracic Society of Australia and New Zealand position statement</t>
  </si>
  <si>
    <t>asthma; exacerbation; impacts risk; landscape fire smoke; management; mitigation; pathogenesis</t>
  </si>
  <si>
    <t>AIR-POLLUTION; PARTICULATE MATTER; HEALTH IMPACTS; CALIFORNIA WILDFIRES; EXPOSURE; OUTCOMES; IMMUNE; RISK</t>
  </si>
  <si>
    <t>Landscape fires are increasing in frequency and severity globally. In Australia, extreme bushfires cause a large and increasing health and socioeconomic burden for communities and governments. People with asthma are particularly vulnerable to the effects of landscape fire smoke (LFS) exposure. Here, we present a position statement from the Thoracic Society of Australia and New Zealand. Within this statement we provide a review of the impact of LFS on adults and children with asthma, highlighting the greater impact of LFS on vulnerable groups, particularly older people, pregnant women and Aboriginal and Torres Strait Islander peoples. We also highlight the development of asthma on the background of risk factors (smoking, occupation and atopy). Within this document we present advice for asthma management, smoke mitigation strategies and access to air quality information, that should be implemented during periods of LFS. We promote clinician awareness, and the implementation of public health messaging and preparation, especially for people with asthma.</t>
  </si>
  <si>
    <t>Yin, S</t>
  </si>
  <si>
    <t>Effect of biomass burning on premature mortality associated with long-term exposure to PM2.5 in Equatorial Asia</t>
  </si>
  <si>
    <t>ElNin?o; Emission inventory; Global exposure mortality model (GEMM); Population ageing; Remote sensing</t>
  </si>
  <si>
    <t>FIRE DETECTION ALGORITHM; AIR-POLLUTION; AEROSOL REANALYSIS; TROPICAL PEATLAND; WILDFIRE SMOKE; EMISSIONS; DEFORESTATION; CLIMATE; FOREST; IMPACTS</t>
  </si>
  <si>
    <t>The health burden from exposure to ambient fine particulates (PM2.5) in Equatorial Asia is substantially affected by the peatland fires in Indonesia, but the long-term health effect of the fires on local inhabitants is unclear. In this study, PM2.5-associated excess mortality in Equatorial Asia over the past 30 years (1990-2019) was esti-mated and then the health effect of biomass burning was identified. The PM2.5-related death in Equatorial Asia almost tripled from 113 (95% confidence interval, 100-125) thousand in 1990 to 337 (300-373) thousand in 2019, with a rate of increase of 6.4 (6.2-6.9) thousand/yr. The intense biomass burning between 1990 and 2019 was estimated to have induced 317 (282-348) thousand excess deaths in the study regions, with excess deaths mainly occurring in the El Nin similar to o years, such as in 1997, 2006, 2015 and 2019. Although the remote sensing data and emission inventories both reveal that the effective control measures have reduced biomass burning intensity in Equatorial Asia (especially in Sumatra and Borneo), the corresponding health benefit has been offset by variations in demographic factors, i.e., population and age structure. Over the same period, fossil fuel emissions continued to increase rapidly. Thus, more stringent and ambitious policies are required to reduce the health burden from biomass burning and anthropogenic emissions simultaneously to maximize the health benefits from government measures and policies.</t>
  </si>
  <si>
    <t>ENVIRONMENTAL HEALTH PERSPECTIVES</t>
  </si>
  <si>
    <t>Hadley, MB; Henderson, SB; Brauer, M; Vedanthan, R</t>
  </si>
  <si>
    <t>Protecting Cardiovascular Health From Wildfire Smoke</t>
  </si>
  <si>
    <t>CIRCULATION</t>
  </si>
  <si>
    <t>air pollution; cardiovascular diseases; climate change; global health; smoke; wildfires</t>
  </si>
  <si>
    <t>PARTICULATE AIR-POLLUTION; WILDLAND FIRE SMOKE; HOSPITAL ADMISSIONS; SCIENTIFIC STATEMENT; MORTALITY; ASSOCIATION; EXPOSURE; DISEASE; HEART; PARTICLES</t>
  </si>
  <si>
    <t>Cardiac &amp; Cardiovascular Systems; Peripheral Vascular Disease</t>
  </si>
  <si>
    <t>Wildfire smoke is a rapidly growing threat to global cardiovascular health. We review the literature linking wildfire smoke exposures to cardiovascular effects. We find substantial evidence that short-term exposures are associated with key cardiovascular outcomes, including mortality, hospitalization, and acute coronary syndrome. Wildfire smoke exposures will continue to increase over the majority of Earth's surface. For example, the United States alone has experienced a 5-fold increase in annual area burned since 1972, with 82 million individuals estimated to be exposed to wildfire smoke by midcentury. The associated rise in excess morbidity and mortality constitutes a growing global public health crisis. Fortunately, the effect of wildfire smoke on cardiovascular health is modifiable at the individual and population levels through specific interventions. Health systems therefore have an opportunity to help safeguard patients from smoke exposures. We provide a roadmap of evidence-based interventions to reduce risk and protect cardiovascular health. Key interventions include preparing health systems for smoke events; identifying and educating vulnerable patients; reducing outdoor activities; creating cleaner air environments; using air filtration devices and personal respirators; and aggressive management of chronic diseases and traditional risk factors. Further research is needed to test the efficacy of interventions on reducing cardiovascular outcomes.</t>
  </si>
  <si>
    <t>Lee, K; Oh, SS; Jeong, KS; Ahn, YS; Chang, SJ; Hong, SH; Kang, DR; Kim, SK; Koh, SB</t>
  </si>
  <si>
    <t>Impact of Wildfire Smoke Exposure on Health in Korea</t>
  </si>
  <si>
    <t>YONSEI MEDICAL JOURNAL</t>
  </si>
  <si>
    <t>Wildfires; health impact; medical use; admission</t>
  </si>
  <si>
    <t>HOSPITAL ADMISSIONS; AIR-POLLUTION; OUTCOMES; SYDNEY</t>
  </si>
  <si>
    <t>Purpose: The characteristic topography and climate often affect the occurrence of large-scale wildfires in the Eastern Gangwon-do region of Korea. However, there are no studies on the health effects of these wildfires in Korea. This study aimed to analyze the dif-ferences in medical use between a wildfire-affected area and an adjacent non-affected area before and after a wildfire in 2019 in Gangwon-do, Korea. Materials and Methods: We used medical usage data from the Korean National Health Insurance Corporation. Rates of medical use were determined for citizens of a wildfire-affected area in the Eastern Yeongdong region and a non-affected area in the West-ern Yeongseo region. Logistic regression analysis was performed considering an increase in medical use per individual as a de-pendent variable; age, sex, income, smoking, drinking, and exercise were included as confounding variables. Results: The odds ratio for medical use in Yeongdong region increased significantly after 3 days, 3 months, and 1 year after a fire occurred, compared with Yeongseo region. Conclusion: The results of this study confirmed that the use of medical care increased for residents of a wildfire-affected area, compared with those of an adjacent non-affected area. This is the first study on the relationship between wildfires and inpatient medical use in Korea.</t>
  </si>
  <si>
    <t>Ciciretti, R; Barraza, F; De la Barrera, F; Urquieta, L; Cortes, S</t>
  </si>
  <si>
    <t>Relationship between Wildfire Smoke and Children's Respiratory Health in the Metropolitan Cities of Central-Chile</t>
  </si>
  <si>
    <t>wildfires; Chile; air quality; climate change; children's health</t>
  </si>
  <si>
    <t>SOUTHERN CALIFORNIA WILDFIRES; PARTICULATE AIR-POLLUTION; EXPOSURE; SANTIAGO; IMPACTS; MORTALITY; MATTER; HOSPITALIZATION; QUALITY</t>
  </si>
  <si>
    <t>Wildfire causes multiple problems for people living in cities. One of them is the deterioration of air quality as a result of wildfire smoke. This smoke can consequently have effects on human health. The present study aims to characterize the relationship between the occurrence of wildfires in central Chile and the effects on children's respiratory health. Public databases provided the number of emergency care visits, wildfires, and concentration of air pollutants, demographics and meteorological variables for the regions of Santiago and Valparaiso from 2010 to 2013. Time series analysis was used monthly on health care visits to determine the relative health risk in children when in the presence of additional wildfires. Significant health risks were observed in Santiago for children younger than 1-year-old of bronchitis (RR 1.007, CI 95% 1.007-1.008; chronic lower respiratory diseases (RR 1.012, CI 95% 1.012-1.013); and pneumonia (RR 1.026 CI 95% 1.026-1.027) and in children aged one to four years old (RR 1.016 CI 95% 1.015-1.016). A dose-response relationship was also observed for pneumonia, showing that it affects younger children particularly when there is an increase in the number of wildfires. In the Region of Valparaiso, wildfires did not significantly change the risk of respiratory illness, this could be due to favorable ventilation. Currently, Santiago has an urgent need for monitoring and the evaluation of the damage to children's respiratory health, along with the development of comprehensive prevention strategies.</t>
  </si>
  <si>
    <t>Mirabelli, MC; Vaidyanathan, A; Pennington, AF; Ye, DN; Trenga, CA</t>
  </si>
  <si>
    <t>Wildfire smoke and symptoms affecting mental health among adults in the US state of Oregon</t>
  </si>
  <si>
    <t>PREVENTIVE MEDICINE</t>
  </si>
  <si>
    <t>Environmental; Epidemiology; Mental health; Surveillance; Wildfire</t>
  </si>
  <si>
    <t>WILDLAND FIRE SMOKE; IMPACTS</t>
  </si>
  <si>
    <t>Public, Environmental &amp; Occupational Health; Medicine, General &amp; Internal</t>
  </si>
  <si>
    <t>The physical and mental health impacts of wildfires are wide-ranging. We assessed associations between exposure to wildfire smoke and self-reported symptoms affecting mental health among adults living in Oregon. We linked by interview date and county of residence survey responses from 5807 adults who responded to the 2018 Behavioral Risk Factor Surveillance System's depression and anxiety module with smoke plume density, a proxy for wildfires and wildfire smoke exposure. Associations between weeks in the past year with medium and heavy smoke plume densities and symptoms affecting mental health during the two weeks before the interview date were estimated using predicted marginal probabilities from logistic regression models. In the year before completing the interview, 100% of respondents experienced &gt;= 2 weeks of medium or heavy smoke, with an average exposure duration of 32 days. Nearly 10% reported being unable to stop or control their worrying more than half the time over the past two weeks. Medium or heavy smoke for 6 or more weeks in the past year, compared to &lt;= 4 weeks in the past year, was associated with a 30% higher prevalence of being unable to stop or control worrying more than half the time during the past two weeks (prevalence ratio: 1.30, 95% confidence interval: 1.03, 1.65). Among adults in Oregon, selected symptoms affecting mental health were associated with extended durations of medium and heavy smoke. These findings highlight the burden of such symptoms among adults living in communities affected by wildfires and wildfire smoke.</t>
  </si>
  <si>
    <t>Requia, WJ; Papatheodorou, S; Koutrakis, P; Mukherjee, R; Roig, HL</t>
  </si>
  <si>
    <t>Increased preterm birth following maternal wildfire smoke exposure in Brazil</t>
  </si>
  <si>
    <t>Wildfire; Smoke; Air pollution; Preterm birth; Pregnancy</t>
  </si>
  <si>
    <t>AMBIENT AIR-POLLUTION; FINE PARTICULATE MATTER; SYSTEMATIC ANALYSIS; PREGNANCY OUTCOMES; HEALTH; MORTALITY; DEFECTS; GROWTH; RISK</t>
  </si>
  <si>
    <t>Preterm birth (PTB) complications are the leading cause of death among children under 5 years of age, responsible for approximately 1 million deaths in 2015, according to the World Health Organization. Those infants born prematurely who survived the first 5 years, studies suggest that these infants are more likely to experience a range of poor health outcomes during childhood and even adulthood. Wildfire smoke has been suggested as a type of air pollution source with high toxicity for reproductive health. In this study, we estimated the association between preterm birth and wildfire periods in Brazil, a country included in the list of the 10 nations with the greatest number of preterm birth and also considered as a very fire-prone region. We applied a time-stratified case-crossover study design using conditional logistic regression models to estimate the odds ratio for preterm birth associated with wildfire-related prenatal PM2.5, during different windows of exposure, including trimesters 1-3. After adjusting for several confounders (other air pollutants, demographics, meteorological variables, and spatiotemporal terms), we found that wildfire smoke exposure during pregnancy may be associated with preterm birth in Brazil. Southeast was the region with the highest increase in the odds of PTB (OR:1.41 (95%CI: 1.31-1.51) when the exposure occurred in the first trimester. In the North, exposure to PM2.5 &amp; nbsp;during wildfire periods in the second trimester of pregnancy was associated with increased odds of PTB (OR:1.05 (95%CI: 1.01-1.09) in preterm birth when the exposure occurred in the second trimester. This study suggests that wildfire smoke exposure during pregnancy may increase the risk for preterm birth in Brazil. This should be of great concern to the public health authorities, obstetricians, and policymakers.</t>
  </si>
  <si>
    <t>Johnson, MM; Garcia-Menendez, F</t>
  </si>
  <si>
    <t>Uncertainty in Health Impact Assessments of Smoke From a Wildfire Event</t>
  </si>
  <si>
    <t>EMERGENCY-DEPARTMENT VISITS; FINE PARTICULATE MATTER; WILDLAND FIRE SMOKE; EXTENDED FOLLOW-UP; AIR-QUALITY; HOSPITAL ADMISSIONS; CALIFORNIA WILDFIRES; POPULATION EXPOSURE; MORTALITY; POLLUTION</t>
  </si>
  <si>
    <t>Wildfires cause elevated air pollution that can be detrimental to human health. However, health impact assessments associated with emissions from wildfire events are subject to uncertainty arising from different sources. Here, we quantify and compare major uncertainties in mortality and morbidity outcomes of exposure to fine particulate matter (PM2.5) pollution estimated for a series of wildfires in the Southeastern U.S. We present an approach to compare uncertainty in estimated health impacts specifically due to two driving factors, wildfire-related smoke PM2.5 fields and variability in concentration-response parameters from epidemiologic studies of ambient and smoke PM2.5. This analysis, focused on the 2016 Southeastern wildfires, suggests that emissions from these fires had public health consequences in North Carolina. Using several methods based on publicly available monitor data and atmospheric models to represent wildfire-attributable PM2.5, we estimate impacts on several health outcomes and quantify associated uncertainty. Multiple concentration-response parameters derived from studies of ambient and wildfire-specific PM2.5 are used to assess health-related uncertainty. Results show large variability and uncertainty in wildfire impact estimates, with comparable uncertainties due to the smoke pollution fields and health response parameters for some outcomes, but substantially larger health-related uncertainty for several outcomes. Consideration of these uncertainties can support efforts to improve estimates of wildfire impacts and inform fire-related decision-making. Plain Language Summary Wildfire smoke degrades air quality and is harmful to human health. Fire-related health impacts can be estimated using measures of smoke impacts on air pollution and previously determined relationships between air quality and health. However, because there are multiple ways to calculate smoke exposure and health outcomes due to smoke, estimates of fire-related health impacts can vary considerably. Comparisons of these sources of uncertainty are lacking. Here, we estimate smoke-related health impacts from a wildfire event in the Southeastern U.S. using several representations of fine particle (PM2.5) pollution from smoke and parameters from multiple previously published epidemiological studies. We compare the uncertainty in the estimated health impacts contributed by the two sources. Results show that wildfire health impact estimates can vary widely based on how PM2.5 is quantified and choice of health response parameters. The magnitude of the uncertainty due to the smoke pollution fields is comparable to that associated with relating air pollution to some health outcomes. However, relationships for several health outcomes contribute much larger uncertainty to the impact estimates than the spatial pollution fields. Consideration of the sources of uncertainty in estimates of smoke-related health impacts is necessary to improve wildfire impact assessments and land management decision-making.</t>
  </si>
  <si>
    <t>Schwarz, L; Dimitrova, A; Aguilera, R; Basu, R; Gershunov, A; Benmarhnia, T</t>
  </si>
  <si>
    <t>Smoke and COVID-19 case fatality ratios during California wildfires</t>
  </si>
  <si>
    <t>COVID-19; wildfire smoke; synthetic control methods; case fatality ratios</t>
  </si>
  <si>
    <t>FINE PARTICULATE MATTER; HEALTH; IMPACTS</t>
  </si>
  <si>
    <t>Recent evidence has shown an association between wildfire smoke and COVID-19 cases and deaths. The San Francisco Bay Area, in California (USA), experienced two major concurrent public health threats in 2020: the COVID-19 pandemic and dense smoke emitted by wildfires. This provides a unprecedented context to unravel the role of acute air pollution exposure on COVID-19 severity. A smoke product provided by the National Oceanic and Atmospheric Association Hazard Mapping System was used to identify counties exposed to heavy smoke in summer and fall of 2020. Daily COVID-19 cases and deaths for the United States were downloaded at the County-level from the CDC COVID Data Tracker. Synthetic control methods were used to estimate the causal effect of the wildfire smoke on daily COVID-19 case fatality ratios (CFRs), adjusting for population mobility. Evidence of an impact of wildfire smoke on COVID-19 CFRs was observed, with precise estimates in Alameda and San Francisco. Up to 58 (95% CI: 29, 87) additional deaths for every 1000 COVID-19 incident daily cases attributable to wildfire smoke was estimated in Alameda in early September. Findings indicated that extreme weather events such as wildfires smoke can drive increased vulnerability to infectious diseases, highlighting the need to further study these colliding crises. Understanding the environmental drivers of COVID-19 mortality can be used to protect vulnerable populations from these potentially concomitant public health threats.</t>
  </si>
  <si>
    <t>Humphreys, A; Walker, EG; Bratman, GN; Errett, NA</t>
  </si>
  <si>
    <t>What can we do when the smoke rolls in? An exploratory qualitative analysis of the impacts of rural wildfire smoke on mental health and wellbeing, and opportunities for adaptation</t>
  </si>
  <si>
    <t>Wildfire smoke; Wellbeing; Qualitative methods</t>
  </si>
  <si>
    <t>NATURE EXPERIENCE; AIR-POLLUTION</t>
  </si>
  <si>
    <t>Background Extreme, prolonged wildfire smoke (WFS) events are becoming increasingly frequent phenomena across the Western United States. Rural communities, dependent on contributions of nature to people's quality of life, are particularly hard hit. While prior research has explored the physical health impacts of WFS exposure, little work has been done to assess WFS impacts on mental health and wellbeing, or potential adaptation solutions. Methods Using qualitative methods, we explore the mental health and wellbeing impacts experienced by community members in a rural Washington State community that has been particularly hard hit by WFS in recent years, as well as individual, family, and community adaptation solutions. We conducted focus groups with residents and key informant interviews with local health and social service providers. Results Participants identified a variety of negative mental health and wellbeing impacts of WFS events, including heightened anxiety, depression, isolation, and a lack of motivation, as well as physical health impacts (e.g., respiratory issues and lack of exercise). Both positive and negative economic and social impacts, as well as temporary or permanent relocation impacts, were also described. The impacts were not equitably distributed; differential experiences based on income level, outdoor occupations, age (child or elderly), preexisting health conditions, housing status, and social isolation were described as making some residents more vulnerable to WFS-induced physical and mental health and wellbeing challenges than others. Proposed solutions included stress reduction (e.g., meditation and relaxation lessons), increased distribution of air filters, development of community clean air spaces, enhancing community response capacity, hosting social gatherings, increasing education, expanding and coordination risk communications, and identifying opportunities for volunteering. Findings were incorporated into a pamphlet for community distribution. We present a template version herein for adaptation and use in other communities. Conclusions Wildfire smoke events present significant mental health and wellbeing impacts for rural communities. Community-led solutions that promote stress reduction, physical protection, and community cohesion have the opportunity to bolster resilience amid this growing public health crisis.</t>
  </si>
  <si>
    <t>Blando, J; Allen, M; Galadima, H; Tolson, T; Akpinar-Elci, M; Szklo-Coxe, M</t>
  </si>
  <si>
    <t>Observations of Delayed Changes in Respiratory Function among Allergy Clinic Patients Exposed to Wildfire Smoke</t>
  </si>
  <si>
    <t>wildfire; peak flow; sensitization; smoke; respiratory; allergy; delayed</t>
  </si>
  <si>
    <t>OUTDOOR AIR-POLLUTION; SYSTEMIC INFLAMMATION; ASTHMA; PREGNANCY; INCREASE; HEALTH; ONSET</t>
  </si>
  <si>
    <t>Wildfires have increased in frequency and magnitude and pose a significant public health challenge. The principal objective of this study was to assess the impact of wildfire smoke on respiratory peak flow performance of patients exposed to two different wildfire events. This longitudinal study utilized an observational approach and a cohort study design with a patient-level clinical dataset from a local outpatient allergy clinic (n = 842). Meteorological data from a local weather station served as a proxy for smoke exposure because air quality measurements were not available. This study found that there were decreases in respiratory peak flow among allergy clinic patients one year after each wildfire event. For every one percent increase in wind blowing from the fire towards the community, there was, on average, a 2.21 L per minute decrease in respiratory peak flow. This study observed an effect on respiratory peak flow performance among patients at a local allergy clinic one year after suspected exposure to wildfire smoke. There are likely multiple reasons for the observation of this relationship, including the possibility that wildfire smoke may enhance allergic sensitization to other allergens or that wildfire smoke itself may elicit a delayed immune response.</t>
  </si>
  <si>
    <t>Heaney, A; Stowell, JD; Liu, JC; Basu, R; Marlier, M; Kinney, P</t>
  </si>
  <si>
    <t>Impacts of Fine Particulate Matter From Wildfire Smoke on Respiratory and Cardiovascular Health in California</t>
  </si>
  <si>
    <t>FOREST-FIRE SMOKE; AIR-POLLUTION; HOSPITAL ADMISSIONS; CLIMATE-CHANGE; SUBEQUATORIAL AMAZON; EXPOSURE; MORTALITY; DISEASE; URBAN; SUSCEPTIBILITY</t>
  </si>
  <si>
    <t>Increases in wildfire activity across the Western US pose a significant public health threat. While there is evidence that wildfire smoke is detrimental for respiratory health, the impacts on cardiovascular health remain unclear. This study evaluates the association between fine particulate matter (PM2.5) from wildfire smoke and unscheduled cardiorespiratory hospital visits in California during the 2004-2009 wildfire seasons. We estimate daily mean wildfire-specific PM2.5 with Goddard Earth Observing System-Chem, a global three-dimensional model of atmospheric chemistry, with wildfire emissions estimates from the Global Fire Emissions Database. We defined a smoke event day as cumulative 0-1-day lag wildfire-specific PM2.5 &gt;= 98th percentile of cumulative 0-1 lag day wildfire PM2.5. Associations between exposure and outcomes are estimated using negative binomial regression. Results indicate that smoke event days are associated with a 3.3% (95% CI: [0.4%, 6.3%]) increase in visits for all respiratory diseases and a 10.3% (95% CI: [2.3%, 19.0%]) increase for asthma specifically. Stratifying by age, we found the largest effect for asthma among children ages 0-5 years. We observed no significant association between exposure and overall cardiovascular disease, but stratified analyses revealed increases in visits for all cardiovascular, ischemic heart disease, and heart failure among non-Hispanic white individuals and those older than 65 years. Further, we found a significant interaction between smoke event days and daily average temperature for all cardiovascular disease visits, suggesting that days with high wildfire PM2.5 concentrations and high temperatures may pose greater risk for cardiovascular disease. These results suggest substantial increases in adverse outcomes from wildfire smoke exposure and indicate the need for improved prevention strategies and adaptations to protect vulnerable populations. Plain Language Summary Due to continued climate change, wildfire activity has increased in recent years and poses a significant public health threat. In this study, we investigated the impact of increased wildfire smoke exposure on cardiovascular and respiratory emergency department (ED) visits. We found that smoke events are linked to a &gt; 3% increase of respiratory ED visits with a &gt; 10% increase for asthma specifically, with the largest effect seen in children 0-5 years of age. We did not find an increase in cardiovascular visits for the entire population, but we did observe significant increases in several cardiovascular outcomes for individuals 65 years of age and older as well as for non-Hispanic white individuals.</t>
  </si>
  <si>
    <t>Stowell, JD; Yang, CE; Fu, JS; Scovronick, NC; Strickland, MJ; Liu, Y</t>
  </si>
  <si>
    <t>Asthma exacerbation due to climate change-induced wildfire smoke in the Western US</t>
  </si>
  <si>
    <t>Wildfire; climate change; asthma; respiratory; PM2 5; smoke</t>
  </si>
  <si>
    <t>EMISSION; IMPACTS</t>
  </si>
  <si>
    <t>Climate change and human activities have drastically altered the natural wildfire balance in the Western US and increased population health risks due to exposure to pollutants from fire smoke. Using dynamically downscaled climate model projections, we estimated additional asthma emergency room visits and hospitalizations due to exposure to smoke fine particulate matter (PM2.5) in the Western US in the 2050s. Isolating the amount of PM2.5 from wildfire smoke is both difficult to estimate and, thus, utilized by relatively few studies. In this study, we use a sophisticated modeling approach to estimate future increase in wildfire smoke exposure over the reference period (2003-2010) and subsequent health care burden due to asthma exacerbation. Average increases in smoke PM2.5 during future fire season ranged from 0.05 to 9.5 mu g m(-3) with the highest increases seen in Idaho, Montana, and Oregon. Using the Integrated Climate and Land-Use Scenarios (ICLUS) A2 scenario, we estimated the smoke-related asthma events could increase at a rate of 15.1 visits per 10 000 persons in the Western US, with the highest rates of increased asthma (25.7-41.9 per 10 000) in Idaho, Montana, Oregon, and Washington. Finally, we estimated healthcare costs of smoke-induced asthma exacerbation to be over $1.5 billion during a single future fire season. Here we show the potential future health impact of climate-induced wildfire activity, which may serve as a key tool in future climate change mitigation and adaptation planning.</t>
  </si>
  <si>
    <t>Naughten, SM; Aguilera, R; Gershunov, A; Benmarhnia, T; Leibel, S</t>
  </si>
  <si>
    <t>A Perspective on Pediatric Respiratory Outcomes During California Wildfires Due to Smoke and PM2.5 Exposure</t>
  </si>
  <si>
    <t>FRONTIERS IN PEDIATRICS</t>
  </si>
  <si>
    <t>PM2 5; exposure; pediatric; respiratory; California wildfires; Air Quality Index (AQI) efficiency</t>
  </si>
  <si>
    <t>PARTICULATE MATTER; HEALTH; CHILDREN; IMPACTS; SYSTEM</t>
  </si>
  <si>
    <t>Pediatrics</t>
  </si>
  <si>
    <t>As wildfires increase in prevalence and intensity across California and globally, it is anticipated that more children will be exposed to wildfire smoke, and thus face associated adverse health outcomes. Here, we provide a concise summary of the respiratory effects of California's wildfires on pediatric healthcare utilization, examine global examples of wildfire smoke exposure within the pediatric population and associated physiological effects, and assess the efficacy of metrics used to measure and communicate air quality during wildfires within the United States and elsewhere.</t>
  </si>
  <si>
    <t>Requia, WJ; Amini, H; Adams, MD; Schwartz, JD</t>
  </si>
  <si>
    <t>Birth weight following pregnancy wildfire smoke exposure in more than 1.5 million newborns in Brazil: A nationwide case-control study</t>
  </si>
  <si>
    <t>Wildfire; Smoke; Air pollution; Birth weight; Pregnancy</t>
  </si>
  <si>
    <t>FINE PARTICULATE MATTER; AMBIENT AIR-POLLUTION; MATERNAL AGE; SOUTHERN CALIFORNIA; CARBON-MONOXIDE; HEALTH; IMPACT; POPULATION; SCOTLAND; OUTCOMES</t>
  </si>
  <si>
    <t>Background Air pollution exposure has been associated with critical neonatal morbidities, including low birth weight (LBW). However, little is known on short-term exposure to wildfire smoke and LBW. In this study, we estimated the association between birth weight following pregnancy and wildfire smoke exposure in more than 1.5 million newborns in Brazil (considered as a very fire-prone region worldwide). Methods We applied a logistic regression model to estimate the percent variation in newborns with low birth weight when exposed to wildfire in different trimesters of the pregnancy. Findings After adjusting the model with relevant covariates, we found that an increase of 100 wildfire records in Brazil was associated with an increase in low birth weight in the Midwest region [0.98% (95%CI:0.34; 1.63)] and in the South region [18.55% (95%CI:13.66; 23.65)] when the exposure occurred in the first trimester of pregnancy. Interpretation Wildfires were associated with LBW and this should be of public health concern for policymakers. Copyright (c) 2022 The Author(s). Published by Elsevier Ltd. This is an open access article under the CC BY license (http://creativecommons.org/licenses/by/4.0/)</t>
  </si>
  <si>
    <t>Postma, JM; Odom-Maryon, T; Rappold, AG; Haverkamp, H; Amiri, S; Bindler, R; Whicker, J; Walden, V</t>
  </si>
  <si>
    <t>Promoting risk reduction among young adults with asthma during wildfire smoke: A feasibility study</t>
  </si>
  <si>
    <t>asthma; clinical trial; mobile applications; risk reduction behavior; wildfires; young adult</t>
  </si>
  <si>
    <t>RELIABILITY; VALIDITY; SYSTEM; IMPACT</t>
  </si>
  <si>
    <t>Objective(s): This study explored the feasibility, acceptability, preliminary impact, and functionality of two risk reduction mobile application (app) interventions on asthma outcomes as compared to a control arm during wildfire season. Design: Three-arm, 8-week randomized clinical trial. Sample: Sixty-seven young adults with asthma were enrolled. Measurements: The Asthma Control Test, forced expiratory volume in one second (FEV1) and the System Usability Scale were measured at baseline, 4, and 8 weeks. The Research Attitude Scale was administered at 8 weeks. Twenty participants from the two intervention arms completed an optional survey and six were interviewed after completing the study. Intervention: Both intervention arms could access Smoke Sense Urbanova, an app that supports reducing risks from breathing wildfire smoke. The Smoke Sense Urbanova Plus arm also monitored their daily FEV1, received air quality notifications, and accessed preventive tips and a message board. Results: Most participants agreed the app and spirometer were usable and their privacy and confidentiality were maintained. No adverse events were reported. Conclusions: Participant-identified recommendations will support intervention refinement and testing. This research supports asthma self-management tools that public health nurses and community health workers can recommend for at-risk populations.</t>
  </si>
  <si>
    <t>Montrose, L; Walker, ES; Toevs, S; Noonan, CW</t>
  </si>
  <si>
    <t>Outdoor and indoor fine particulate matter at skilled nursing facilities in the western United States during wildfire and non-wildfire seasons</t>
  </si>
  <si>
    <t>INDOOR AIR</t>
  </si>
  <si>
    <t>elder health; indoor air quality; long-term care; PM2.5</t>
  </si>
  <si>
    <t>AIR-QUALITY; RESPIRATORY HEALTH; PERSONAL EXPOSURE; PARTICLES; POLLUTION; HOMES; RESIDENTS; AMBIENT; PM2.5</t>
  </si>
  <si>
    <t>Construction &amp; Building Technology; Engineering, Environmental; Public, Environmental &amp; Occupational Health</t>
  </si>
  <si>
    <t>Wildfire activity is increasing in parts of the world where extreme drought and warming temperatures contribute to fireprone conditions, including the western United States. The elderly are among the most vulnerable, and those in long-term care with preexisting conditions have added risk for adverse health outcomes from wildfire smoke exposure. In this study, we report continuous co-located indoor and outdoor fine particulate matter (PM2.5) measurements at four skilled nursing facilities in the western United States. Throughout the year 2020, over 8000 h of data were collected, which amounted to approximately 300 days of indoor and outdoor sampling at each facility. The highest indoor 24 h average PM2.5 recorded at each facility was 43.6 mu g/m(3), 103.2 mu g/m(3), 35.4 mu g/m(3), and 202.5 mu g/m(3), and these peaks occurred during the wildfire season. The indoor-to-outdoor PM2.5 ratio and calculated infiltration efficiencies indicated high variation in the impact of wildfire events on Indoor Air Quality between the four facilities. Notably, infiltration efficiency ranged from 0.22 to 0.76 across the four facilities. We propose that this variability is evidence that PM2.5 infiltration may be impacted by modifiable building characteristics and human behavioral factors, and this should be addressed in future studies.</t>
  </si>
  <si>
    <t>Rosenthal, N; Benmarhnia, T; Ahmadov, R; James, E; Marlier, ME</t>
  </si>
  <si>
    <t>Population co-exposure to extreme heat and wildfire smoke pollution in California during 2020</t>
  </si>
  <si>
    <t>ENVIRONMENTAL RESEARCH-CLIMATE</t>
  </si>
  <si>
    <t>extreme heat; wildfire smoke; exposure; compounding hazards</t>
  </si>
  <si>
    <t>FINE PARTICULATE MATTER; HEALTH; EXPOSURE; IMPACTS; WAVE; HOSPITALIZATIONS; TEMPERATURE; MORTALITY; AMBIENT; STRESS</t>
  </si>
  <si>
    <t>Excessive warming from climate change has increased the total wildfire burned area over the past several decades in California. This has increased population exposure to both hazardous concentrations of air pollutants from fires such as fine particulate matter (smoke PM2.5) and extreme heat events. Exposure to PM2.5 and extreme heat are individually associated with negative health impacts and recent epidemiological evidence points to synergistic effects from concurrent exposures. This study characterizes the frequency and spatial distribution of co-occurring extreme heat and smoke PM2.5 events in California during the record-setting wildfire season of 2020. We measure exceedances over extreme thresholds of modeled surface-level smoke PM2.5 concentrations and heat index based on observed temperature and humidity. We estimate that, during the studied period, extreme smoke and heat co-occurred at least once within 68% of the state's area (similar to 288 000 km2) and an average 2.5 times across all affected areas. Additionally, 16.5 million people, mostly in lower population density areas, were impacted at least once in 2020 by such synergistic events. Our findings suggest that public health guidance and adaptation policies should account for co-exposures, not only distinct exposures, when confronting heat and smoke PM2.5.</t>
  </si>
  <si>
    <t>Cortes-Ramirez, J; Michael, RN; Knibbs, LD; Bambrick, H; Haswell, MR; Wraith, D</t>
  </si>
  <si>
    <t>The association of wildfire air pollution with COVID-19 incidence in New SouthWales, Australia</t>
  </si>
  <si>
    <t>Australian bushfire season; Bayesian spatial regression; Integrated nested; Laplace approximation-INLA; Altered immune response; Population density; Wildfire smoke indicators</t>
  </si>
  <si>
    <t>MODELS; EXPOSURE; HEALTH; RISK</t>
  </si>
  <si>
    <t>The 2020 COVID-19 outbreak in New South Wales (NSW), Australia, followed an unprecedented wildfire season that exposed large populations to wildfire smoke. Wildfires release particulate matter (PM), toxic gases and organic and non-organic chemicals that may be associated with increased incidence of COVID-19. This study estimated the association of wildfire smoke exposure with the incidence of COVID-19 in NSW. A Bayesian mixedeffect regression was used to estimate the association of either the average PM10 level or the proportion of wildfire burned area as proxies of wildfire smoke exposure with COVID-19 incidence in NSW, adjusting for sociodemographic risk factors. The analysis followed an ecological design using the 129 NSW Local Government Areas (LGA) as the ecological units. A random effects model and a model including the LGA spatial distribution (spatial model) were compared. A higher proportional wildfire burned area was associated with higher COVID-19 incidence in both the random effects and spatial models after adjustment for sociodemographic factors (posterior mean = 1.32 (99% credible interval: 1.05-1.67) and 1.31 (99% credible interval: 1.03-1.65), respectively). No evidence of an association between the average PM10 level and the COVID-19 incidence was found. LGAs in the greater Sydney and Hunter regions had the highest increase in the risk of COVID-19. This study identified wildfire smoke exposures were associated with increased risk of COVID-19 in NSW. Research on individual responses to specific wildfire airborne particles and pollutants needs to be conducted to further identify the causal links between SARS-Cov-2 infection and wildfire smoke. The identification of LGAs with the highest risk of COVID-19 associated with wildfire smoke exposure can be useful for public health prevention and or mitigation strategies. (C) 2021 The Authors. Published by Elsevier B.V.</t>
  </si>
  <si>
    <t>Ademu, LO; Gao, JJ; Thompson, OP; Ademu, LA</t>
  </si>
  <si>
    <t>Impact of Short-Term Air Pollution on Respiratory Infections: A Time-Series Analysis of COVID-19 Cases in California during the 2020 Wildfire Season</t>
  </si>
  <si>
    <t>air pollution; respiratory infections; COVID-19; environmental health; Generalized additive models; Feasible Generalized Least Squares Model; California; wildfires</t>
  </si>
  <si>
    <t>METEOROLOGICAL FACTORS; UNITED-STATES; INACTIVATION; POLLUTANTS; SARS-COV-2; SURFACES; EXPOSURE; DISEASE; SMOKE</t>
  </si>
  <si>
    <t>The 2020 California wildfire season coincided with the peak of the COVID-19 pandemic affecting many counties in California, with impacts on air quality. We quantitatively analyzed the short-term effect of air pollution on COVID-19 transmission using county-level data collected during the 2020 wildfire season. Using time-series methodology, we assessed the relationship between short-term exposure to particulate matter (PM2.5), carbon monoxide (CO), nitrogen dioxide (NO2), and Air Quality Index (AQI) on confirmed cases of COVID-19 across 20 counties impacted by wildfires. Our findings indicate that PM2.5, CO, and AQI are positively associated with confirmed COVID-19 cases. This suggests that increased air pollution could worsen the situation of a health crisis such as the COVID-19 pandemic. Health policymakers should make tailored policies to cope with situations that may increase the level of air pollution, especially during a wildfire season.</t>
  </si>
  <si>
    <t>Ramos, C; Minghelli, B</t>
  </si>
  <si>
    <t>Prevalence and Factors Associated with Poor Respiratory Function among Firefighters Exposed to Wildfire Smoke</t>
  </si>
  <si>
    <t>firefighters; spirometry; respiratory function; wildfire smoke</t>
  </si>
  <si>
    <t>PULMONARY-FUNCTION</t>
  </si>
  <si>
    <t>One of the world's biggest disasters are wildfires. The firefighting environment involves physical and respiratory risks, due the inhalation of fire smoke. This study aims to determine the respiratory function of firefighters exposed to wildfire smoke and explore the potential risk factors associated with poor respiratory function. The sample involved 53 firefighters, aged between 23 and 60 years (39.28 +/- 8.71), 41 (77.40%) male and 12 (22.60%) female, who fought in wildfires. The measurement instruments used were as follows: a scale, a stadiometer, a questionnaire, a Fagerstrom test and a spirometer. Thirty-six (67.9%) firefighters showed a restrictive pattern. Firefighters fought between 1 and 9 (3.64 +/- 1.97) fires and in total between 5 and 212 (62.34 +/- 46.89) h. Nineteen (52.8%) firefighters, who showed a restrictive pattern, did not perform any physical exercise (p = 0.045). Twelve (70.6%) firefighters who practiced exercise and revealed a restrictive pattern trained at least 3 or less hours weekly, whilst five (29.4%) practiced more than 3 h (p = 0.030) of weekly exercise. Twenty (55.6%) firefighters with a restrictive pattern spent more than 48 h in combat (p = 0.029) and twenty-two (61.1%) did not use any respiratory protection (p = 0.011). The study data showed that occupational exposure to wildfire smoke was associated with the development of a restrictive pattern and associated factors included a sedentary lifestyle, limited duration of physical exercise, longer exposure to fire smoke and non-use of respiratory protection.</t>
  </si>
  <si>
    <t>Heft-Neal, S; Driscoll, A; Yang, W; Shaw, G; Burke, M</t>
  </si>
  <si>
    <t>Associations between wildfire smoke exposure during pregnancy and risk of preterm birth in California</t>
  </si>
  <si>
    <t>Wildfire; Smoke; Preterm birth; Pregnancy; Pollution</t>
  </si>
  <si>
    <t>AMBIENT AIR-POLLUTION; HEALTH IMPACTS; PARTICULATE MATTER; PM2.5; DISPARITIES; MORTALITY; EMISSIONS; OUTCOMES; STRESS; WEIGHT</t>
  </si>
  <si>
    <t>There is limited population-scale evidence on the burden of exposure to wildfire smoke during pregnancy and its impacts on birth outcomes. In order to investigate this relationship, data on every singleton birth in California 2006-2012 were combined with satellite-based estimates of wildfire smoke plume boundaries and high-resolution gridded estimates of surface PM2.5 concentrations and a regression model was used to estimate associations with preterm birth risk. Results suggest that each additional day of exposure to any wildfire smoke during pregnancy was associated with an 0.49 % (95 % CI: 0.41-0.59 %) increase in risk of preterm birth ( 37 weeks). At sample median smoke exposure (7 days) this translated to a 3.4 % increase in risk, relative to an unexposed mother. Estimates by trimester suggest stronger associations with exposure later in pregnancy and estimates by smoke intensity indicate that observed associations were driven by higher intensity smoke-days. Exposure to low intensity smoke-days had no association with preterm birth while an additional medium (smoke PM2.5 5-10 mu g/m(3)) or high (smoke PM2.5 10 mu g/m(3)) intensity smoke-day was associated with an 0.95 % (95 % CI: 0.47-1.42 %) and 0.82 % (95 % CI: 0.41-1.24 %) increase in preterm risk, respectively. In contrast to previous findings for other pollution types, neither exposure to smoke nor the relative impact of smoke on preterm birth differed by race/ethnicity or income in our sample. However, impacts differed greatly by baseline smoke exposure, with mothers in regions with infrequent smoke exposure experiencing substantially larger impacts from an additional smoke-day than mothers in regions where smoke is more common. We estimate 6,974 (95 % CI: 5,513-8,437) excess preterm births attributable to wildfire smoke exposure 2007-2012, accounting for 3.7 % of observed preterm births during this period. Our findings have important implications for understanding the costs of growing wildfire smoke exposure, and for understanding the benefits of smoke mitigation measures.</t>
  </si>
  <si>
    <t>Dickinson, GN; Miller, DD; Bajracharya, A; Bruchard, W; Durbin, TA; McGarry, JKP; Moser, EP; Nuñez, LA; Pukkila, EJ; Scott, PS; Sutton, PJ; Johnston, NAC</t>
  </si>
  <si>
    <t>Health Risk Implications of Volatile organic Compounds in Wildfire Smoke During the 2019 FIREX-AQ Campaign and Beyond</t>
  </si>
  <si>
    <t>ANTHROPOGENIC CLIMATE-CHANGE; PARTICULATE AIR-POLLUTION; WESTERN US; EMISSION FACTORS; IMPACTS; VOCS</t>
  </si>
  <si>
    <t>Fire Influence on Regional to Global Environments and Air Quality was a NOAA/NASA collaborative campaign conducted during the summer of 2019. The objectives included identifying and quantifying wildfire composition, smoke evolution, and climate and health impacts of wildfires and agricultural fires in the United States. Ground based mobile sampling via sorbent tubes occurred at the Nethker and Williams Flats fires (2019) and Chief Timothy and Whitetail Loop fires (2020) in Idaho and Washington. Air samples were analyzed through thermal desorption-gas chromatography-mass spectrometry for a variety of volatile organic compounds to elucidate both composition and health impacts. Benzene, toluene, ethylbenzene, xylenes, butenes, phenol, isoprene and pinenes were observed in the wildfire smoke, with benzene ranging from 0.04 to 25 ppbv. Health risk was assessed for each fire by determining sub-chronic (wildfire event) and projected chronic inhalation risk exposure from benzene, a carcinogen, as well as other non-carcinogenic compounds including toluene, ethylbenzene, xylenes, and hexane. The cancer risk of benzene from sub-chronic exposure was 1 extra cancer per million people and ranged from 1 to 19 extra cancers per million people for the projected chronic scenarios, compared to a background level of 1 extra cancer per million people. The hazard index of non-carcinogenic compounds was less than one for all scenarios and wildfires sampled, which was considered low risk for non-cancer health events. Plain Language Summary Wildfires have been growing in size in the western United States (US) and negatively impacting the air quality of the region. Fire Influence on Regional to Global Environments and Air Quality (FIREX-AQ) was a US government funded campaign conducted during the summer of 2019. The main goals included identifying and quantifying wildfire smoke composition and climate and health impacts of wildfires and agricultural fires in the US. Ground based air sampling occurred at the Nethker and Williams Flats fires (2019) during FIREX-AQ and afterward at Chief Timothy and Whitetail Loop fires (2020), located in Idaho and Washington states. Air samples were analyzed in the laboratory for 106 gases and air toxics to determine the type of compounds present and their concentrations. Health risk was assessed for each fire by determining inhalation exposure from benzene, an air toxic that can cause cancer, as well as non-cancer causing compounds. The cancer risk of benzene ranged from 1 extra cancer per million people to 19 extra cancers per million people based on wildfire event exposure (30 days) or repeated exposure (30 days each year, lifetime), respectively. The health risk was determined to be low for non-cancer health events.</t>
  </si>
  <si>
    <t>Navarro, KM; Butler, CR; Fent, K; Toennis, C; Sammons, D; Ramirez-Cardenas, A; Clark, KA; Byrne, DC; Graydon, PS; Hale, CR; Wilkinson, AF; Smith, DL; Alexander-Scott, MC; Pinkerton, LE; Eisenberg, J; Domitrovich, JW</t>
  </si>
  <si>
    <t>The Wildland Firefighter Exposure and Health Effect (WFFEHE) Study: Rationale, Design, and Methods of a Repeated-Measures Study</t>
  </si>
  <si>
    <t>cardiovascular; hearing; kidney; pulmonary; wildfire</t>
  </si>
  <si>
    <t>AMERICAN THORACIC SOCIETY; OCCUPATIONAL-EXPOSURE; OXIDATIVE STRESS; FIRE; SMOKE; WILDFIRE; SPIROMETRY; FORESTS; IMPACT</t>
  </si>
  <si>
    <t>The wildland firefighter exposure and health effect (WFFEHE) study was a 2-year repeated-measures study to investigate occupational exposures and acute and subacute health effects among wildland firefighters. This manuscript describes the study rationale, design, methods, limitations, challenges, and lessons learned. The WFFEHE cohort included fire personnel ages 18-57 from six federal wildland firefighting crews in Colorado and Idaho during the 2018 and 2019 fire seasons. All wildland firefighters employed by the recruited crews were invited to participate in the study at preseason and postseason study intervals. In 2019, one of the crews also participated in a 3-day midseason study interval where workplace exposures and pre/postshift measurements were collected while at a wildland fire incident. Study components assessed cardiovascular health, pulmonary function and inflammation, kidney function, workplace exposures, and noise-induced hearing loss. Measurements included self-reported risk factors and symptoms collected through questionnaires; serum and urine biomarkers of exposure, effect, and inflammation; pulmonary function; platelet function and arterial stiffness; and audiometric testing. Throughout the study, 154 wildland firefighters participated in at least one study interval, while 144 participated in two or more study interval. This study was completed by the Centers for Disease Control and Prevention's National Institute for Occupational Safety and Health through a collaborative effort with the U.S. Department of Agriculture Forest Service, Department of the Interior National Park Service, and Skidmore College. Conducting research in the wildfire environment came with many challenges including collecting study data with study participants with changing work schedules and conducting study protocols safely and operating laboratory equipment in remote field locations. Forthcoming WFFEHE study results will contribute to the scientific evidence regarding occupational risk factors and exposures that can impact wildland firefighter health over a season and across two wildland fire seasons. This research is anticipated to lead to the development of preventive measures and policies aimed at reducing risk for wildland firefighters and aid in identifying future research needs for the wildland fire community.</t>
  </si>
  <si>
    <t>Marsh, BJ; Kolodzie, K; Robinowitz, D; Jacobson, A; Ferschl, M</t>
  </si>
  <si>
    <t>Wildfire Smoke Exposure Is Associated with Adverse Respiratory Events under General Anesthesia in At-risk Pediatric Patients</t>
  </si>
  <si>
    <t>ANESTHESIOLOGY</t>
  </si>
  <si>
    <t>SOUTHERN CALIFORNIA WILDFIRES; HEALTH; INCREASE</t>
  </si>
  <si>
    <t>Anesthesiology</t>
  </si>
  <si>
    <t>Background: Increasing wildfire activity worldwide has led to exposure to poor air quality and numerous detrimental health impacts. This study hypothesized an association between exposure to poor air quality from wildfire smoke and adverse respiratory events under general anesthesia in pediatric patients. Methods: This was a single-center retrospective double-cohort study examining two significant wildfire events in Northern California. Pediatric patients presenting for elective surgery during periods of unhealthy air quality were compared with those during periods of healthy air quality. The primary exposure, unhealthy air, was determined using local air quality sensors. The primary outcome was the occurrence of an adverse respiratory event under anesthesia. Secondary analysis included association with other known risk factors for adverse respiratory events. Results: A total of 625 patients were included in the analysis. The overall risk of a respiratory complication was 42.4% (265 of 625). In children without a history of reactive airway disease, the risk of adverse respiratory events did not change during unhealthy air periods (102 of 253, 40.3%) compared with healthy air periods (95 of 226, 42.0%; relative risk 0.96 [0.77 to 1.19], P = 0.703). In children with a history of reactive airway disease, the risk of adverse respiratory events increased from 36.8% (25 of 68) during healthy air periods to 55.1% (43 of 78) during periods with unhealthy air (1.50 [1.04 to 2.17], P = 0.032). The effect of air quality on adverse respiratory events was significantly modified by reactive airways disease status (1.56 [1.02 to 2.40], P = 0.041). Conclusions: Pediatric patients with underlying risk factors for respiratory complications under general anesthesia had a greater incidence of adverse respiratory events during periods of unhealthy air quality caused by wildfire smoke. In this vulnerable patient population, postponing elective anesthetics should be considered when air quality is poor.</t>
  </si>
  <si>
    <t>Evoy, R; Hystad, P; Bae, H; Kincl, L</t>
  </si>
  <si>
    <t>The impact of wildfire smoke and temperature on traumatic worker injury claims, Oregon 2009-2018</t>
  </si>
  <si>
    <t>HEALTH SCIENCE REPORTS</t>
  </si>
  <si>
    <t>air quality; climate change; heat; occupational injuries; outdoor workers; workers' compensation</t>
  </si>
  <si>
    <t>HEALTH IMPACTS; OCCUPATIONAL-EXPOSURE; FIRE SMOKE; ASSOCIATION; AUSTRALIA; ILLNESS</t>
  </si>
  <si>
    <t>Background and Aims As average temperatures rise and wildfire events increase in the United States, outdoor workers may be at an increased risk of injury. Recent research suggests that heat exposure increases outdoor workers' risk of traumatic injuries, but co-exposures of heat and wildfire smoke have not been evaluated. Methods Oregon workers' compensation data from 2009 to 2018 were linked to satellite data by the date of injury to determine if acute heat (maximum Heat Index) and wildfire smoke (presence/absence) were associated with a traumatic injury. North American Industry Classification System (NAICS) codes were utilized to identify accepted, disabling injury claims from construction (NAICS 23) and agriculture, forestry, fishing, and hunting (NAICS 11). Claims from April to October were analyzed using negative binomial models to calculate incident rate ratios (IRR) by heat and wildfire exposure for All workers and specifically for Agricultural (Ag)/Construction workers. Results During the study period, 91,895 accepted, traumatic injury claims were analyzed. All workers had an injury IRR of 1.04 (95% confidence interval [CI]: 1.02-1.06) while Ag/Construction workers had an IRR of 1.11 (95% CI: 1.06-1.16) when wildfire smoke was present. When the maximum Heat Index was 75 degrees F or greater, the IRR significantly increased as temperatures increased. When the maximum Heat Index was above 80-84 degrees F, All workers had an IRR of 1.04 (95% CI: 1.01-1.06) while Ag/construction workers had an IRR of 1.14 (95% CI: 1.08-1.21) with risk increasing with increased temperatures. In joint models, heat remained associated with injury rates, but not wildfire smoke. No multiplicative interactions between exposures were observed. Conclusion Increasing temperature was associated with increased rates of traumatic injury claims in Oregon that were more pronounced in Ag/Construction workers. Future work should focus on further understanding these associations and effective injury prevention strategies.</t>
  </si>
  <si>
    <t>Yu, P; Xu, RB; Li, SS; Yue, X; Chen, GB; Ye, TT; Coêlho, MSZS; Saldiva, PHN; Sim, MR; Abramson, MJ; Guo, YM</t>
  </si>
  <si>
    <t>Exposure to wildfire-related PM2.5 and site-specific cancer mortality in Brazil from 2010 to 2016: A retrospective study</t>
  </si>
  <si>
    <t>PLOS MEDICINE</t>
  </si>
  <si>
    <t>AIR-POLLUTION; PARTICULATE MATTER; OXIDATIVE STRESS; LUNG-CANCER; SMOKE; RISK; INFLAMMATION; TEMPERATURE; ESOPHAGEAL; SURVIVAL</t>
  </si>
  <si>
    <t>Author summary Why was this study done? Cancer is a leading cause of death worldwide, and cancer-related deaths are projected to increase in the future in all countries, including Brazil.Given the increasing frequency and duration of wildfires in recent decades, the effects of wildfires on health need to be better understood.The association between wildfire PM2.5 and site-specific cancer mortality remains unclear. What did the researchers do and find? We conducted a retrospective study using data from the Mortality Information System in Brazil to assess whether wildfire-related PM2.5 exposure was associated with mortality from cancer for common cancer sites in adults.Municipality-level wildfire- and non-wildfire-related PM2.5 concentrations were estimated and linked with the mortality data.We found that wildfire-related PM2.5 exposure was associated with cancer mortality for various common cancer sites in adults in Brazil, and higher effects were observed for wildfire-related PM2.5 than for non-wildfire sources of PM2.5. What do these findings mean? Our findings suggest a high wildfire-related PM2.5 attributable cancer burden, among adults in Brazil.The potentially higher risk of wildfire-related PM2.5 compared with non-wildfire-related PM2.5 for all cancers combined suggests that the wildfire control and systemic prevention strategies are warranted, to reduce cancer mortality risk in Brazil. This could be a health co-benefit of measures to preserve the Amazon rainforest and limit climate change. BackgroundLong-term exposure to fine particles &lt;= 2.5 mu m in diameter (PM2.5) has been linked to cancer mortality. However, the effect of wildfire-related PM2.5 exposure on cancer mortality risk is unknown. This study evaluates the association between wildfire-related PM2.5 and site-specific cancer mortality in Brazil, from 2010 to 2016. Methods and findingsNationwide cancer death records were collected during 2010-2016 from the Brazilian Mortality Information System. Death records were linked with municipal-level wildfire- and non-wildfire-related PM2.5 concentrations, at a resolution of 2.0 degrees latitude by 2.5 degrees longitude. We applied a variant difference-in-differences approach with quasi-Poisson regression, adjusting for seasonal temperature and gross domestic product (GDP) per capita. Relative risks (RRs) and 95% confidence intervals (CIs) for the exposure for specific cancer sites were estimated. Attributable fractions and cancer deaths were also calculated. In total, 1,332,526 adult cancer deaths (age &gt;= 20 years), from 5,565 Brazilian municipalities, covering 136 million adults were included. The mean annual wildfire-related PM2.5 concentration was 2.38 mu g/m(3), and the annual non-wildfire-related PM2.5 concentration was 8.20 mu g/m(3). The RR for mortality from all cancers was 1.02 (95% CI 1.01-1.03, p &lt; 0.001) per 1-mu g/m(3) increase of wildfire-related PM2.5 concentration, which was higher than the RR per 1-mu g/m(3) increase of non-wildfire-related PM2.5 (1.01 [95% CI 1.00-1.01], p = 0.007, with p for difference = 0.003). Wildfire-related PM2.5 was associated with mortality from cancers of the nasopharynx (1.10 [95% CI 1.04-1.16], p = 0.002), esophagus (1.05 [95% CI 1.01-1.08], p = 0.012), stomach (1.03 [95% CI 1.01-1.06], p = 0.017), colon/rectum (1.08 [95% CI 1.05-1.11], p &lt; 0.001), larynx (1.06 [95% CI 1.02-1.11], p = 0.003), skin (1.06 [95% CI 1.00-1.12], p = 0.003), breast (1.04 [95% CI 1.01-1.06], p = 0.007), prostate (1.03 [95% CI 1.01-1.06], p = 0.019), and testis (1.10 [95% CI 1.03-1.17], p = 0.002). For all cancers combined, the attributable deaths were 37 per 100,000 population and ranged from 18/100,000 in the Northeast Region of Brazil to 71/100,000 in the Central-West Region. Study limitations included a potential lack of assessment of the joint effects of gaseous pollutants, an inability to capture the migration of residents, and an inability to adjust for some potential confounders. ConclusionsExposure to wildfire-related PM2.5 can increase the risks of cancer mortality for many cancer sites, and the effect for wildfire-related PM2.5 was higher than for PM2.5 from non-wildfire sources.</t>
  </si>
  <si>
    <t>Mahsin, M; Cabaj, J; Saini, V</t>
  </si>
  <si>
    <t>Respiratory and cardiovascular condition-related physician visits associated with wildfire smoke exposure in Calgary, Canada, in 2015: a population-based study</t>
  </si>
  <si>
    <t>INTERNATIONAL JOURNAL OF EPIDEMIOLOGY</t>
  </si>
  <si>
    <t>Particulate matter; wildland fires; respiratory morbidity; cardiovascular morbidity; outpatient visits</t>
  </si>
  <si>
    <t>FINE PARTICULATE MATTER; SOUTHERN CALIFORNIA WILDFIRES; EMERGENCY-DEPARTMENT VISITS; AIR-POLLUTION; FIRE SMOKE; HEALTH IMPACTS; CLIMATE-CHANGE; HOSPITAL ADMISSIONS; TIME-SERIES; MORTALITY</t>
  </si>
  <si>
    <t>Background We studied the impact of fine particulate matter (PM2.5) exposure due to a remote wildfire event in the Pacific Northwest on daily outpatient respiratory and cardiovascular physician visits during wildfire (24-31 August, 2015) and post-wildfire period (1-30 September, 2015) relative to the pre-wildfire period (1-23 August, 2015) in the city of Calgary, Canada. Methods A quasi-Poisson regression model was used for modelling daily counts of physician visits due to PM2.5 while adjusting for day of the week (weekday versus weekend or public holiday), wildfire exposure period (before, during, after), methane, relative humidity, and wind direction. A subgroup analysis of those with pre-existing diabetes or hypertension was performed. Results An elevated risk of respiratory disease morbidity of 33% (relative risk: RR) [95% confidence interval (CI): 10%-59%] and 55% (95% CI: 42%-69%) was observed per 10 mu g/m(3) increase in PM2.5 level during and after wildfire, respectively, relative to the pre-wildfire time period. Increased risk was observed for children aged 0-9 years during (RR = 1.57, 95% CI: 1.21-2.02) and after the wildfire (RR = 2.11, 95% CI: 1.86-2.40) especially for asthma, acute bronchitis and acute respiratory infection. The risk of physician visits among seniors increased by 11% (95% CI: 3%-21%), and 19% (95% CI: 7%-33%) post-wildfire for congestive heart failure and ischaemic heart disease, respectively. Individuals with pre-existing diabetes had an increased risk of both respiratory and cardiovascular morbidity in the post-wildfire period (RR = 1.35, 95% CI: 1.09-1.67; RR = 1.22, 95% CI: 1.01-1.46, respectively). Conclusions Wildfire-related PM2.5 exposure led to increased respiratory condition-related outpatient physician visits during and after wildfires, particularly for children. An increased risk of physician visits for congestive heart failure and ischaemic heart disease among seniors in the post-wildfire period was also observed.</t>
  </si>
  <si>
    <t>Ye, TT; Xu, RB; Yue, X; Chen, GB; Yu, P; Coêlho, MSZS; Saldiva, PHN; Abramson, MJ; Guo, YM; Li, SS</t>
  </si>
  <si>
    <t>Short-term exposure to wildfire-related PM2.5 increases mortality risks and burdens in Brazil</t>
  </si>
  <si>
    <t>LAND-USE CHANGE; HOSPITAL ADMISSIONS; AIR-QUALITY; TIME-SERIES; AEROSOL; IMPACTS; SMOKE; HEAT; FIRE</t>
  </si>
  <si>
    <t>To assess mortality risks and burdens associated with short-term exposure to wildfire-related fine particulate matter with diameter &lt;= 2.5 mu m (PM2.5), we collect daily mortality data from 2000 to 2016 for 510 immediate regions in Brazil, the most wildfire-prone area. We integrate data from multiple sources with a chemical transport model at the global scale to isolate daily concentrations of wildfire-related PM2.5 at a 0.25 x 0.25 resolution. With a two-stage time-series approach, we estimate (i) an increase of 3.1% (95% confidence interval [CI]: 2.4, 3.9%) in all-cause mortality, 2.6% (95%CI: 1.5, 3.8%) in cardiovascular mortality, and 7.7% (95%CI: 5.9, 9.5) in respiratory mortality over 0-14 days with each 10 mu g/m(3) increase in daily wildfire-related PM2.5; (ii) 0.65% of all-cause, 0.56% of cardiovascular, and 1.60% of respiratory mortality attributable to acute exposure to wildfire-related PM2.5, corresponding to 121,351 all-cause deaths, 29,510 cardiovascular deaths, and 31,287 respiratory deaths during the study period. In this study, we find stronger associations in females and adults aged &gt;= 60 years, and geographic difference in the mortality risks and burdens. To assess mortality risks and burdens associated with short-term exposure to wildfire-related PM2.5, the authors collect daily mortality data from 2000 to 2016 for 510 immediate regions in Brazil, the most wildfire-prone area.</t>
  </si>
  <si>
    <t>Ranse, J; Luther, M; Hertelendy, A; Skinner, R</t>
  </si>
  <si>
    <t>Impact of fine particulate matter (PM2.5) smoke during the 2019 / 2020 Australian bush fi re disaster on emergency department patient presentations</t>
  </si>
  <si>
    <t>Wildfires; Bushfires; Smoke; Emergency department; Respiratory</t>
  </si>
  <si>
    <t>WILDFIRE SMOKE; VISITS</t>
  </si>
  <si>
    <t>Aim: The aim of this paper was to describe the patient characteristics and outcomes from a metropolitan emergency department (ED) during the 2019/2020 'Black Summer Bushfires' disaster in Australia and compare the patient characteristics and outcomes to a matched period from the same ED one year earlier. Background: Years of drought, low relative humidity, high temperatures, and high forest fuel loads led to catastrophic fire conditions across Australia during 2019 and 2020. As a result; 33 people died, 3 billion animals and 24 to 40 million hectares were lost, and 3,000 homes were destroyed. The impact of wildfire smoke is emerging in the literature regarding an exacerbation of respiratory, cardiac and cardiovascular disease. However, the impact on Australian EDs is minimally reported in the literature. Method: This retrospective cross-sectional cohort study used routinely collected data from the ED patient information system from one metropolitan Australian ED. Data were obtained for patient presentations during the 2019/2020 Black Summer Bushfire period and a matched period, 2018/2019, one year earlier. Daily mean air quality indicators (PM2.5, PM10) were obtained from the nearest air quality monitoring station. Data analysis included descriptive statistics, correlation coefficient and inferential statistics. Statistical significance was set at p &lt;= 0.05. Results: The 2019/2020 study period had a statistically significantly higher airborne particulate matter (PM2.5) when compared to the matched period (p=&lt;0.001), with comparable presentations between the study periods. However, an increase in respiratory related presentations (p&lt;0.001; chi(2) = 34.31) was noted in the 2019/2020 period, with a positive correlation between daily increasing mean air quality (PM2.5, PM10) and increasing patient presentations with respiratory related illness (p&lt;0.001). Proportionately, patient demographics; mode of arrival, triage category, length of stay and admissions did not differ between periods. However, there was an increase in the raw number of patients being admitted to hospital with respiratory related illnesses, with a statistically significantly longer stay in the ED when compared to those discharged home (p&lt;0.001). Conclusions: Wildfires produce smoke and subsequently poor air quality. The 2019/2020 Black Summer wildfire disaster in Australia resulted in an increase in respiratory-related patient presentations to the ED. Targeted public warning systems could be implemented in an attempt to limit an individual's exposure to wildfire smoke. Further, health services should monitor air quality as a predictor of patient presentations and subsequent health service demand, in support of ED preparedness. (c) 2022 The Authors. Published by Elsevier Masson SAS. This is an open access article under the CC BY-NC-ND license (http://creativecommons.org/licenses/by-nc-nd/4.0/)</t>
  </si>
  <si>
    <t>Barbosa, JV; Nunes, RAO; Alvim-Ferraz, MCM; Martins, FG; Sousa, SIV</t>
  </si>
  <si>
    <t>Health and Economic Burden of the 2017 Portuguese Extreme Wildland Fires on Children</t>
  </si>
  <si>
    <t>wildland fire; air quality; children; health impact; economic costs</t>
  </si>
  <si>
    <t>SOUTHERN CALIFORNIA WILDFIRES; AIR-POLLUTION; PARTICULATE MATTER; EMISSIONS; IMPACTS; MODEL; ASIA</t>
  </si>
  <si>
    <t>Wildland fires release substantial amounts of hazardous contaminants, contributing to a decline in air quality and leading to serious health risks. Thus, this study aimed to understand the contributions of the 2017 extreme wildland fires in Portugal on children health, compared to 2016 (with burned area, in accordance with the average of the previous 15 years). The impact of long-term exposure to PM10 and NO2 concentrations, associated with wildland fires, on postneonatal mortality, bronchitis prevalence, and bronchitis symptoms in asthmatic children was estimated, as well as the associated costs. The excess health burden in children attributable to exposure to PM10 and NO2, was calculated based on WHO HRAPIE relative risks. Fire emissions were obtained from the Fire INventory from NCAR (FINN). The results obtained indicate that the smoke from wildfires negatively impacts children's lung function (PM10 exposure: increase of 320 and 648 cases of bronchitis in 2016 and 2017; NO2 exposure: 24 and 40 cases of bronchitis symptoms in asthmatic children in 2016 and 2017) and postneonatal mortality (PM10 exposure: 0.2 and 0.4 deaths in 2016 and 2017). Associated costs were increased in 2017 by around 1 million (sic) for all the evaluated health endpoints, compared to 2016.</t>
  </si>
  <si>
    <t>Beyene, T; Harvey, ES; Van Buskirk, J; McDonald, VM; Jensen, ME; Horvat, JC; Morgan, GG; Zosky, GR; Jegasothy, E; Hanigan, I; Murphy, VE; Holliday, EG; Vertigan, AE; Peters, M; Farah, CS; Jenkins, CR; Katelaris, CH; Harrington, J; Langton, D; Bardin, P; Katsoulotos, GP; Upham, JW; Chien, J; Bowden, JJ; Rimmer, J; Bell, R; Gibson, PG</t>
  </si>
  <si>
    <t>severe asthma; particulate matter; wildfire smoke; bushfire smoke</t>
  </si>
  <si>
    <t>HOSPITAL ADMISSIONS; AIR-POLLUTION; EVENTS; SYDNEY; PM2.5</t>
  </si>
  <si>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(PM2.5) was estimated by geolocation and validated modelling. Respondents (n = 240) had a median age of 63 years, 60% were female and 92% had severe asthma. They experienced prolonged intense PM2.5 exposure (mean PM2.5 32.5 mu g/m(3)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PM2.5 exposure during the 2019/2020 bushfires was associated with acute and persistent symptoms among people with severe asthma. There are opportunities to improve the exposure mitigation strategies and communicate these to people with severe asthma.</t>
  </si>
  <si>
    <t>Cleland, SE; Wyatt, LH; Wei, L; Paul, N; Serre, ML; West, JJ; Henderson, SB; Rappold, AG</t>
  </si>
  <si>
    <t>Short-Term Exposure to Wildfire Smoke and PM2.5 and Cognitive Performance in a Brain-Training Game: A Longitudinal Study of US Adults</t>
  </si>
  <si>
    <t>BACKGROUND: There is increasing evidence that long-term exposure to fine particulate matter [PM &lt;= 2.5 mu m in aerodynamic diameter (PM2.5)] may adversely impact cognitive performance. Wildfire smoke is one of the biggest sources of PM2.5 and concentrations are likely to increase under climate change. However, little is known about how short-term exposure impacts cognitive function. OBJECTIVES: We aimed to evaluate the associations between daily and subdaily (hourly) PM2.5 and wildfire smoke exposure and cognitive performance in adults. METHODS: Scores from 20 plays of an attention-oriented brain-training game were obtained for 10,228 adults in the United States (U.S.). We estimated daily and hourly PM2.5 exposure through a data fusion of observations from multiple monitoring networks. Daily smoke exposure in the western U.S. was obtained from satellite-derived estimates of smoke plume density. We used a longitudinal repeated measures design with linear mixed effects models to test for associations between short-term exposure and attention score. Results were also stratified by age, gender, user behavior, and region. RESULTS: Daily and subdaily PM2.5 were negatively associated with attention score. A 10 mu g/m(3) increase in PM2.5 in the 3 h prior to gameplay was associated with a 21.0 [95% confidence interval (CI): 3.3, 38.7]-point decrease in score. PM2.5 exposure over 20 plays accounted for an estimated average 3.7% (95% CI: 0.7%, 6.7%) reduction in final score. Associations were more pronounced in the wildfire-impacted western U.S. Medium and heavy smoke density were also negatively associated with score. Heavy smoke density the day prior to gameplay was associated with a 117.0 (95% CI: 1.7, 232.3)-point decrease in score relative to no smoke. Although differences between subgroups were not statistically significant, associations were most pronounced for younger (18-29 y), older (&gt;= 70 y), habitual, and male users. DISCUSSION: Our results indicate that PM2.5 and wildfire smoke were associated with reduced attention in adults within hours and days of exposure, but further research is needed to elucidate these relationships.</t>
  </si>
  <si>
    <t>Coker, ES; Buralli, R; Manrique, AF; Kanai, CM; Amegah, AK; Gouveia, N</t>
  </si>
  <si>
    <t>Association between PM2.5 and respiratory hospitalization in Rio Branco, Brazil: Demonstrating the potential of low-cost air quality sensor for epidemiologic research</t>
  </si>
  <si>
    <t>Amazon basin; Low-cost sensors; Particulate matter; Respiratory; Wildfires</t>
  </si>
  <si>
    <t>PARTICULATE MATTER; TIME-SERIES; POLLUTION; CONSEQUENCES; DISEASES; AMAZON; MODELS; IMPACT; FIRES</t>
  </si>
  <si>
    <t>Background. There is currently a scarcity of air pollution epidemiologic data from low- and middle-income countries (LMICs) due to the lack of air quality monitoring in these countries. Additionally, there is limited capacity to assess the health effects of wildfire smoke events in wildfire-prone regions like Brazil's Amazon Basin. Emerging low-cost air quality sensors may have the potential to address these gaps. Objectives. We investigated the potential of PurpleAir PM2.5 sensors for conducting air pollution epidemiologic research leveraging the United States Environmental Protection Agency's United States-wide correction formula for ambient PM2.5. Methods. We obtained raw (uncorrected) PM2.5 concentration and humidity data from a PurpleAir sensor in Rio Branco, Brazil, between 2018 and 2019. Humidity measurements from the PurpleAir sensor were used to correct the PM2.5 concentrations. We established the relationship between ambient PM2.5 (corrected and uncorrected) and daily all-cause respiratory hospitalization in Rio Branco, Brazil, using generalized additive models (GAM) and distributed lag non-linear models (DLNM). We used linear regression to assess the relationship between daily PM2.5 concentrations and wildfire reports in Rio Branco during the wildfire seasons of 2018 and 2019. Results. We observed increases in daily respiratory hospitalizations of 5.4% (95%CI: 0.8%, 10.1%) for a 2-day lag and 5.8% (1.5%, 10.2%) for 3-day lag, per 10 mu g/m(3) PM2.5 (corrected values). The effect estimates were attenuated when the uncorrected PM2.5 data was used. The number of reported wildfires explained 10% of daily PM2.5 concentrations during the wildfire season. Discussion. Exposure-response relationships estimated using corrected low-cost air quality sensor data were comparable with relationships estimated using a validated air quality modeling approach. This suggests that correcting low-cost PM2.5 sensor data may mitigate bias attenuation in air pollution epidemiologic studies. Low-cost sensor PM2.5 data could also predict the air quality impacts of wildfires in Brazil's Amazon Basin.</t>
  </si>
  <si>
    <t>BMJ OPEN</t>
  </si>
  <si>
    <t>Miller, DD; Bajracharya, A; Dickinson, GN; Durbin, TA; McGarry, JKP; Moser, EP; Nuñez, LA; Pukkila, EJ; Scott, PS; Sutton, PJ; Johnston, NAC</t>
  </si>
  <si>
    <t>Diffusive uptake rates for passive air sampling: Application to volatile organic compound exposure during FIREX-AQ campaign</t>
  </si>
  <si>
    <t>CHEMOSPHERE</t>
  </si>
  <si>
    <t>Tenax; passive sampling; thermal desorption; TD-GC-MS; health risk; VOC</t>
  </si>
  <si>
    <t>RESIDENTIAL INDOOR; SAMPLERS; VOCS; BENZENE; OUTDOOR; BEHAVIOR; TOLUENE; GABIE; URBAN; SMOKE</t>
  </si>
  <si>
    <t>Passive (diffusive) sampling using sorbents is an economical and versatile method of measuring pollutants in air, including volatile organic compounds (VOCs). Diffusive uptake rates (UTRs) are needed for each analyte to obtain average concentrations during a specific passive sampling time duration. Here, a simultaneous active/ diffusive ambient air sampling technique on Tenax (R) TA was employed to measure 24-hours, 7, 14 and 28-days UTRs of up to 27 VOCs, including benzene, toluene, ethylbenzene, xylenes (BTEX), C6-C12 hydrocarbons, benzenes derivatives, tetrachloroethylene, pinenes and limonene. Samples were analyzed via thermal desorptiongas chromatography-mass spectrometry (TD-GC-MS) for desired analytes. Seven-day UTR values ranged from 0.17 to 0.59 mL/min and many compounds exhibited a linear relationship with UTR and time duration up to 14 or 28 days. This may be the most comprehensive UTR tabulation of VOCs on Tenax (R) TA for time periods of 24 hours -28 days available. These rates were applied to VOC data measured during the 2019 NASA/NOAA Fire Influence on Regional to Global Environments and Air Quality (FIREX-AQ) campaign, with goals to determine the chemical composition of western US wildfire smoke and to assess human exposure to air toxics. Summer 2019 exposure levels of BTEX at five Northwestern cities were low and the cancer risk due to benzene was assessed during FIREX-AQ to be background or 1 x 10-6. The UTRs derived here can be useful in applications of diffusive sampling, including estimation of sub-chronic to chronic human exposure risk of air toxics and wildfire smoke.</t>
  </si>
  <si>
    <t>Uttajug, A; Ueda, K; Honda, A; Takano, H</t>
  </si>
  <si>
    <t>Estimation of hospital visits for respiratory diseases attributable to PM10 from vegetation fire smoke and health impacts of regulatory intervention in Upper Northern Thailand</t>
  </si>
  <si>
    <t>FINE PARTICULATE MATTER; CALIFORNIA WILDFIRES; MORTALITY; ASSOCIATIONS; ADMISSIONS; EXPOSURE</t>
  </si>
  <si>
    <t>The air quality in Upper Northern Thailand (UNT) deteriorates during seasonal vegetation fire events, causing adverse effects especially on respiratory health outcomes. This study aimed to quantitatively estimate respiratory morbidity from vegetation fire smoke exposure, and to assess the impact of a burning ban enforced in 2016 on morbidity burden in UNT. We computed daily population exposure to fire-originated PM10 and estimated its health burden during a 5-year period from 2014 to 2018 using daily fire-originated PM10 concentration and the concentration-response function for short-term exposure to PM10 from vegetation fire smoke and respiratory morbidity. In subgroups classified as children and older adults, the health burden of respiratory morbidity was estimated using specific effect coefficients from previous studies conducted in UNT. Finally, we compared the health burden of respiratory morbidity before and after burning ban enforcement. Approximately 130,000 hospital visits for respiratory diseases were estimated to be attributable to fire-originated PM10 in UNT from 2014 to 2018. This estimation accounted for 1.3% of total hospital visits for respiratory diseases during the 5-year period, and 20% of those during burning events. Age-specific estimates revealed a larger impact of PM10 in the older adult group. The number of hospital visits for respiratory diseases attributable to fire-originated PM10 decreased from 1.8% to 0.5% after the burning ban policy was implemented in the area. Our findings suggest that PM10 released from vegetation fires is a health burden in UNT. The prohibition of the burning using regulatory measure had a positive impact on respiratory morbidity in this area.</t>
  </si>
  <si>
    <t>Phung, VLH; Ueda, K; Sahani, M; Seposo, XT; Mahiyuddin, WRW; Honda, A; Takano, H</t>
  </si>
  <si>
    <t>Investigation of association between smoke haze and under-five mortality in Malaysia, accounting for time lag, duration and intensity</t>
  </si>
  <si>
    <t>Fire; smoke; haze; children's health; mortality; Southeast Asia</t>
  </si>
  <si>
    <t>SOUTHERN CALIFORNIA WILDFIRES; AIR-POLLUTION; PARTICULATE MATTER; HOSPITAL ADMISSIONS; FOREST-FIRES; HEALTH IMPACTS; KUALA-LUMPUR; EXPOSURE; SYDNEY; AUSTRALIA</t>
  </si>
  <si>
    <t>Background Studies on the association between smoke haze (hereafter 'haze') and adverse health effects have increased in recent years due to extreme weather conditions and the increased occurrence of vegetation fires. The possible adverse health effects on under-five children (U5Y) is especially worrying due to their vulnerable condition. Despite continuous repetition of serious haze occurrence in Southeast Asia, epidemiological studies in this region remained scarce. Furthermore, no study had examined the association accounting for three important aspects (time lag, duration and intensity) concurrently. Objective This study aimed to examine the association between haze and U5Y mortality in Malaysia, considering time lag, duration and intensity of exposure. Methods We performed a time-stratified case-crossover study using a generalized additive model to examine the U5Y mortality related to haze in 12 districts in Malaysia, spanning from 2014 to 2016. A 'haze day' was characterized by intensity [based on concentrations of particulate matter (PM)] and duration (continuity of haze occurrence, up to 3 days). Results We observed the highest but non-significant odds ratios (ORs) of U5Y mortality at lag 4 of Intensity-3. Lag patterns revealed the possibility of higher acuteness at prolonged and intensified haze. Stratifying the districts by the 95(th)-percentile of PM distribution, the 'low' category demonstrated marginal positive association at Intensity-2 Duration-3 [OR: 1.210 (95% confidence interval: 1.000, 1.464)]. Conclusions We found a null association between haze and U5Y mortality. The different lag patterns of the association observed over different duration and intensity suggest consideration of these aspects in future studies.</t>
  </si>
  <si>
    <t>NATURAL HAZARDS AND EARTH SYSTEM SCIENCES</t>
  </si>
  <si>
    <t>Wen, B; Wu, Y; Xu, RB; Guo, YM; Li, SS</t>
  </si>
  <si>
    <t>Excess emergency department visits for cardiovascular and respiratory diseases during the 2019-20 bushfire period in Australia: A two-stage interrupted time-series analysis</t>
  </si>
  <si>
    <t>Bushfire; Respiratory; Cardiovascular; Emergency department visit</t>
  </si>
  <si>
    <t>WILDFIRE SMOKE; HOSPITAL ADMISSIONS; AIR-POLLUTION; HEALTH; RISK; EXPOSURE; BURDEN; REGRESSION; MORTALITY; EVENTS</t>
  </si>
  <si>
    <t>The health effects of the unprecedented bushfires in Australia in 2019-20 have not been fully examined. We aimed to examine the excess emergency department (ED) visits related to the 2019-20 bushfires in New South Wales (NSW). We obtained weekly data of ED visits for cardiovascular and respiratory diseases in all the 28 Statistical Area Level 4 (SA4) regions in NSW during the bushfire seasons from 2017 to 2020. A two-stage interrupted time-series analysis was applied to quantify the excess risk for ED visits in 2019-20. The total number of excess ED visits, excess percentages, and their empirical confidence intervals (eCIs) were calculated to estimate the impacts of the bushfire season. A total of 416,057 records of cardiorespiratory ED visits were included in our analysis. The bushfire season in 2019-20 was significantly associated with a 6.0% increase (95% eCI: 1.9, 10.3) in ED visits for respiratory diseases and a 10.0% increase (95% eCI: 5.0, 15.2) for cardiovascular diseases, corresponding to 6177 (95% eCI: 1989, 10,166) and 3120 (95% eCI: 1628, 4544) excess ED visits, respectively. The percentage of excess ED visits was higher in regions with lower SES and high fire density. In the context of climate change, more targeted strategies should be developed to prevent adverse bushfire effects and recover from such extreme environmental events.</t>
  </si>
  <si>
    <t>Brocke, SA; Billings, GT; Taft-Benz, S; Alexis, NE; Heise, MT; Jaspers, I</t>
  </si>
  <si>
    <t>Woodsmoke particle exposure prior to SARS-CoV-2 infection alters antiviral response gene expression in human nasal epithelial cells in a sex-dependent manner</t>
  </si>
  <si>
    <t>AMERICAN JOURNAL OF PHYSIOLOGY-LUNG CELLULAR AND MOLECULAR PHYSIOLOGY</t>
  </si>
  <si>
    <t>nasal epithelium; particulate matter; SARS-CoV-2 host response; sex difference; woodsmoke</t>
  </si>
  <si>
    <t>DIESEL EXHAUST PARTICLES; HEALTH IMPACTS; WOOD SMOKE; PARTICULATE MATTER; TOXICITY; URBAN</t>
  </si>
  <si>
    <t>Physiology; Respiratory System</t>
  </si>
  <si>
    <t>Inhalational exposure to particulate matter (PM) derived from natural or anthropogenic sources alters gene expression in the airways and increases susceptibility to respiratory viral infection. Woodsmoke-derived ambient PM from wildfire events during 2020 was associated with higher COVID-19 case rates in the western United States. We hypothesized that exposure to suspensions of woodsmoke particles (WSPs) or diesel exhaust particles (DEPs) prior to SARS-CoV-2 infection would alter host immune gene expression at the transcript level. Primary human nasal epithelial cells (hNECs) from both sexes were exposed to WSPs or DEPs (22 mu g/cm(2)) for 2 h, followed by infection with SARS-CoV-2 at a multiplicity of infection of 0.5. Forty-six genes related to SARS-CoV-2 entry and host response were assessed. Particle exposure alone minimally affected gene expression, whereas SARS-CoV-2 infection alone induced a robust transcriptional response in hNECs, upregulating type I and III interferons, interferon-stimulated genes, and chemokines by 72 h postinfection (p.i.). This upregulation was higher overall in cells from male donors. However, exposure to WSPs prior to infection dampened expression of antiviral, interferon, and chemokine mRNAs. Sex stratification of these results revealed that WSP exposure downregulated gene expression in cells from females more so than males. We next hypothesized that hNECs exposed to particles would have increased apical viral loads compared with unexposed cells. Although apical viral load was correlated to expression of host response genes, viral titer did not differ between groups. These data indicate that WSPs alter epithelial immune responses in a sex-dependent manner, potentially suppressing host defense to SARS-CoV-2 infection.</t>
  </si>
  <si>
    <t>Liu, YS; Austin, E; Xiang, JB; Gould, T; Larson, T; Seto, E</t>
  </si>
  <si>
    <t>Health Impact Assessment of the 2020 Washington State Wildfire Smoke Episode: Excess Health Burden Attributable to Increased PM2.5 Exposures and Potential Exposure Reductions</t>
  </si>
  <si>
    <t>fine particulate matter; health impact assessment; mortality; preparedness; wildfires; wildland fires</t>
  </si>
  <si>
    <t>PARTICULATE MATTER; AIR-POLLUTION; MORTALITY; ASSOCIATIONS; PARTICLES; BENEFITS</t>
  </si>
  <si>
    <t>Major wildfires starting in the summer of 2020 along the west coast of the United States made PM2.5 concentrations in this region rank among the highest in the world. Washington was impacted both by active wildfires in the state and aged wood smoke transported from fires in Oregon and California. This study aims to estimate the magnitude and disproportionate spatial impacts of increased PM2.5 concentrations attributable to these wildfires on population health. Daily PM2.5 concentrations for each county before and during the 2020 Washington wildfire episode (September 7-19) were obtained from regulatory air monitors. Utilizing previously established concentration-response function (CRF) of PM2.5 (CRF of total PM2.5) and odds ratio (OR) of wildfire smoke days (OR of wildfire smoke days) for mortality, we estimated excess mortality attributable to the increased PM2.5 concentrations in Washington. On average, daily PM2.5 concentrations increased 97.1 mu g/m(3) during the wildfire smoke episode. With CRF of total PM2.5, the 13-day exposure to wildfire smoke was estimated to lead to 92.2 (95% CI: 0.0, 178.7) more all-cause mortality cases; with OR of wildfire smoke days, 38.4 (95% CI: 0.0, 93.3) increased all-cause mortality cases and 15.1 (95% CI: 0.0, 27.9) increased respiratory mortality cases were attributable to the wildfire smoke episode. The potential impact of avoiding elevated PM2.5 exposures during wildfire events significantly reduced the mortality burden. Because wildfire smoke episodes are likely to impact the Pacific Northwest in future years, continued preparedness and mitigations to reduce exposures to wildfire smoke are necessary to avoid excess health burden.</t>
  </si>
  <si>
    <t>Tornevi, A; Andersson, C; Carvalho, AC; Langner, J; Stenfors, N; Forsberg, B</t>
  </si>
  <si>
    <t>Respiratory Health Effects of Wildfire Smoke during Summer of 2018 in the Jamtland Harjedalen Region, Sweden</t>
  </si>
  <si>
    <t>wildfires; forest smoke; PM2 5; chemistry transport model; health care visits; respiratory health; asthma</t>
  </si>
  <si>
    <t>ATMOSPHERIC TRANSPORT; CLIMATE-CHANGE; IMPACTS; POPULATION; EMISSIONS; MORTALITY; EXPOSURE; EUROPE; SYSTEM; MODEL</t>
  </si>
  <si>
    <t>During the summer of 2018 Sweden experienced a high occurrence of wildfires, most intense in the low-densely populated Jamtland Harjedalen region. The aim of this study was to investigate any short-term respiratory health effects due to deteriorated air quality generated by the smoke from wildfires. For each municipality in the region Jamtland Harjedalen, daily population-weighted concentrations of fine particulate matter (PM2.5) were calculated through the application of the MATCH chemistry transport model. Modelled levels of PM2.5 were obtained for two summer periods (2017, 2018). Potential health effects of wildfire related levels of PM2.5 were examined by studying daily health care contacts concerning respiratory problems in each municipality in a quasi-Poisson regression model, adjusting for long-term trends, weekday patterns and weather conditions. In the municipality most exposed to wildfire smoke, having 9 days with daily maximum 1-h mean of PM2.5 &gt; 20 mu g/m(3), smoke days resulted in a significant increase in daily asthma visits the same and two following days (relative risk (RR) = 2.64, 95% confidence interval (CI): 1.28-5.47). Meta-estimates for all eight municipalities revealed statistically significant increase in asthma visits (RR = 1.68, 95% CI: 1.09-2.57) and also when grouping all disorders of the lower airways (RR = 1.40, 95% CI: 1.01-1.92).</t>
  </si>
  <si>
    <t>Haikerwal, A; Doyle, LW; Wark, JD; Irving, L; Cheong, JLY</t>
  </si>
  <si>
    <t>Wildfire smoke exposure and respiratory health outcomes in young adults born extremely preterm or extremely low birthweight</t>
  </si>
  <si>
    <t>Wildfire smoke; Respiratory health; Extremely preterm; Extremely low birthweight; Young adults</t>
  </si>
  <si>
    <t>WILDLAND FIRE SMOKE; AIR-POLLUTION; CALIFORNIA WILDFIRES; HOSPITAL ADMISSIONS; PARTICULATE MATTER; FOREST-FIRES; IMPACTS</t>
  </si>
  <si>
    <t>Objective: Adults born either extremely preterm (EP, &lt;28 weeks gestation) or extremely low birthweight (ELBW, &lt;1000 g birthweight) have more obstructive airflow than controls of normal birthweight (&gt;2499 g). We compared self-reported adverse respiratory health outcomes in young adults born EP/ELBW with controls following smoke exposure from the 2019/2020 wildfires in the Australian state of Victoria, and explored if any effects were mediated by airway obstruction, reflected in the forced expiratory volume in 1 second (FEV1). Methods: EP/ELBW participants were derived from all survivors born in the state of Victoria in 1991-92. Contemporaneous controls of normal birthweight (&gt;2499 g) were recruited in the newborn period and matched for sociodemographic variables. Both groups had been assessed at intervals through childhood and into adulthood. Those who participated in the most recent follow-up assessment at 25 years of age, when FEV1 had been measured, were sent a survey when they were approximately 28 years of age asking about respiratory health related outcomes (respiratory symptoms, health services usage, medication uptake) following wildfire smoke exposure over the southern hemisphere summer of 2019-20. Results: A total of 296 participants (166 EP/ELBW; 130 controls) were sent the survey; 44% of the EP/ELBW group and 47% of the control group responded. Compared with controls, EP/ELBW respondents reported more overall respiratory problems (30%vs 20%) and specific respiratory symptoms (breathlessness, wheezing, cough and chest tightness) following wildfire smoke exposure, as well as higher health services usage (e.g. local health clinic, hospital emergency department) and medication uptake for respiratory-related problems. Higher FEV1 values were associated with lower odds of most self-reported respiratory symptoms; adjusting for FEV1 attenuated the differences between EP/ELW and control groups. Conclusion: Survivors born EP/ELBW may be at an increased risk of adverse respiratory health outcomes following wildfire smoke exposure in early adulthood, in part related to worse expiratory airflows.</t>
  </si>
  <si>
    <t>Cleland, SE; Serre, ML; Rappold, AG; West, JJ</t>
  </si>
  <si>
    <t>Estimating the Acute Health Impacts of Fire-Originated PM2.5 Exposure During the 2017 California Wildfires: Sensitivity to Choices of Inputs</t>
  </si>
  <si>
    <t>air pollution; fine particulate matter; wildfire smoke; health impact assessment; population exposure; health impacts</t>
  </si>
  <si>
    <t>PARTICULATE AIR-POLLUTION; HOSPITAL ADMISSIONS; SMOKE; MODEL; US; MATTER</t>
  </si>
  <si>
    <t>Exposure to wildfire smoke increases the risk of respiratory and cardiovascular hospital admissions. Health impact assessments, used to inform decision-making processes, characterize the health impacts of environmental exposures by combining preexisting epidemiological concentration-response functions (CRFs) with estimates of exposure. These two key inputs influence the magnitude and uncertainty of the health impacts estimated, but for wildfire-related impact assessments the extent of their impact is largely unknown. We first estimated the number of respiratory, cardiovascular, and asthma hospital admissions attributable to fire-originated PM2.5 exposure in central California during the October 2017 wildfires, using Monte Carlo simulations to quantify uncertainty with respect to the exposure and epidemiological inputs. We next conducted sensitivity analyses, comparing four estimates of fire-originated PM2.5 and two CRFs, wildfire and nonwildfire specific, to understand their impact on the estimation of excess admissions and sources of uncertainty. We estimate the fires accounted for an excess 240 (95% CI: 114, 404) respiratory, 68 (95% CI: -10, 159) cardiovascular, and 45 (95% CI: 18, 81) asthma hospital admissions, with 56% of admissions occurring in the Bay Area. Although differences between impact assessment methods are not statistically significant, the admissions estimates' magnitude is particularly sensitive to the CRF specified while the uncertainty is most sensitive to estimates of fire-originated PM2.5. Not accounting for the exposure surface's uncertainty leads to an underestimation of the uncertainty of the health impacts estimated. Employing context-specific CRFs and using accurate exposure estimates that combine multiple data sets generates more certain estimates of the acute health impacts of wildfires.</t>
  </si>
  <si>
    <t>Nguyen, HD; Azzi, M; White, S; Salter, D; Trieu, T; Morgan, G; Rahman, M; Watt, S; Riley, M; Chang, LTC; Barthelemy, X; Fuchs, D; Lieschke, K; Nguyen, H</t>
  </si>
  <si>
    <t>The Summer 2019-2020 Wildfires in East Coast Australia and Their Impacts on Air Quality and Health in New South Wales, Australia</t>
  </si>
  <si>
    <t>wildfires; South East Australia; WRF-Chem; pollutant transport; air quality effect; health impact</t>
  </si>
  <si>
    <t>FIRE; MODEL</t>
  </si>
  <si>
    <t>The 2019-2020 summer wildfire event on the east coast of Australia was a series of major wildfires occurring from November 2019 to end of January 2020 across the states of Queensland, New South Wales (NSW), Victoria and South Australia. The wildfires were unprecedent in scope and the extensive character of the wildfires caused smoke pollutants to be transported not only to New Zealand, but also across the Pacific Ocean to South America. At the peak of the wildfires, smoke plumes were injected into the stratosphere at a height of up to 25 km and hence transported across the globe. The meteorological and air quality Weather Research and Forecasting with Chemistry (WRF-Chem) model is used together with the air quality monitoring data collected during the bushfire period and remote sensing data from the Moderate Resolution Imaging Spectroradiometer (MODIS) and Cloud-Aerosol Lidar and Infrared Pathfinder Satellite Observation (CALIPSO) satellites to determine the extent of the wildfires, the pollutant transport and their impacts on air quality and health of the exposed population in NSW. The results showed that the WRF-Chem model using Fire Emission Inventory (FINN) from National Center for Atmospheric Research (NCAR) to simulate the dispersion and transport of pollutants from wildfires predicted the daily concentration of PM2.5 having the correlation (R-2) and index of agreement (IOA) from 0.6 to 0.75 and 0.61 to 0.86, respectively, when compared with the ground-based data. The impact on health endpoints such as mortality and respiratory and cardiovascular diseases hospitalizations across the modelling domain was then estimated. The estimated health impact on each of the Australian Bureau of Statistics (ABS) census districts (SA4) of New South Wales was calculated based on epidemiological assumptions of the impact function and incidence rate data from the 2016 ABS and NSW Department of Health statistical health records. Summing up all SA4 census district results over NSW, we estimated that there were 247 (CI: 89, 409) premature deaths, 437 (CI: 81, 984) cardiovascular diseases hospitalizations and 1535 (CI: 493, 2087) respiratory diseases hospitalizations in NSW over the period from 1 November 2019 to 8 January 2020. The results are comparable with a previous study based only on observation data, but the results in this study provide much more spatially and temporally detailed data with regard to the health impact from the summer 2019-2020 wildfires.</t>
  </si>
  <si>
    <t>Henderson, SB; Morrison, KT; McLean, KE; Ding, Y; Yao, JY; Shaddick, G; Buckeridge, DL</t>
  </si>
  <si>
    <t>Staying Ahead of the Epidemiologic Curve: Evaluation of the British Columbia Asthma Prediction System (BCAPS) During the Unprecedented 2018 Wildfire Season</t>
  </si>
  <si>
    <t>wildfire smoke; public health; surveillance; forecasting; data integration</t>
  </si>
  <si>
    <t>BIOMASS BURNING EMISSIONS; QUALITY FORECAST SYSTEM; FIRE SMOKE EXPOSURE; AIR-QUALITY; HEALTH IMPACTS; SATELLITE; MODEL; TOOL</t>
  </si>
  <si>
    <t>Background: The modular British Columbia Asthma Prediction System (BCAPS) is designed to reduce information burden during wildfire smoke events by automatically gathering, integrating, generating, and visualizing data for public health users. The BCAPS framework comprises five flexible and geographically scalable modules: (1) historic data on fine particulate matter (PM2.5) concentrations; (2) historic data on relevant health indicator counts; (3) PM2.5 forecasts for the upcoming days; (4) a health forecasting model that uses the relationship between (1) and (2) to predict the impacts of (3); and (5) a reporting mechanism. Methods: The 2018 wildfire season was the most extreme in British Columbia history. Every morning BCAPS generated forecasts of salbutamol sulfate (e.g., Ventolin) inhaler dispensations for the upcoming days in 16 Health Service Delivery Areas (HSDAs) using random forest machine learning. These forecasts were compared with observations over a 63-day study period using different methods including the index of agreement (IOA), which ranges from 0 (no agreement) to 1 (perfect agreement). Some observations were compared with the same period in the milder wildfire season of 2016 for context. Results: The mean province-wide population-weighted PM2.5 concentration over the study period was 22.0 mu g/m(3), compared with 4.2 mu g/m(3) during the milder wildfire season of 2016. The PM2.5 forecasts underpredicted the severe smoke impacts, but the IOA was relatively strong with a population-weighted average of 0.85, ranging from 0.65 to 0.95 among the HSDAs. Inhaler dispensations increased by 30% over 2016 values. Forecasted dispensations were within 20% of the observed value in 71% of cases, and the IOA was strong with a population-weighted average of 0.95, ranging from 0.92 to 0.98. All measures of agreement were correlated with HSDA population, where BCAPS performance was better in the larger populations with more moderate smoke impacts. The accuracy of the health forecasts was partially dependent on the accuracy of the PM2.5 forecasts, but they were robust to over- and underpredictions of PM2.5 exposure. Conclusions: Daily reports from the BCAPS framework provided timely and reasonable insight into the population health impacts of predicted smoke exposures, though more work is necessary to improve the PM2.5 and health indicator forecasts.</t>
  </si>
  <si>
    <t>Neumann, JE; Amend, M; Anenberg, S; Kinney, PL; Sarofim, M; Martinich, J; Lukens, J; Xu, JW; Roman, H</t>
  </si>
  <si>
    <t>Estimating PM2.5-related premature mortality and morbidity associated with future wildfire emissions in the western US</t>
  </si>
  <si>
    <t>wildfire; climate change; premature mortality; morbidity; economic valuation</t>
  </si>
  <si>
    <t>CLIMATE-CHANGE; UNITED-STATES; SMOKE CONCENTRATIONS; HEALTH IMPACTS; AIR-QUALITY; INCREASE; TRENDS; FIRES</t>
  </si>
  <si>
    <t>Wildfire activity in the western United States (US) has been increasing, a trend that has been correlated with changing patterns of temperature and precipitation associated with climate change. Health effects associated with exposure to wildfire smoke and fine particulate matter (PM2.5) include short- and long-term premature mortality, hospital admissions, emergency department visits, and other respiratory and cardiovascular incidents. We estimate PM2.5 exposure and health impacts for the entire continental US from current and future western US wildfire activity projected for a range of future climate scenarios through the 21st century. We use a simulation approach to estimate wildfire activity, area burned, fine particulate emissions, air quality concentrations, health effects, and economic valuation of health effects, using established and novel methodologies. We find that climatic factors increase wildfire pollutant emissions by an average of 0.40% per year over the 2006-2100 period under Representative Concentration Pathway (RCP) 4.5 (lower emissions scenarios) and 0.71% per year for RCP8.5. As a consequence, spatially weighted wildfire PM2.5 concentrations more than double for some climate model projections by the end of the 21st century. PM2.5 exposure changes, combined with population projections, result in a wildfire PM2.5-related premature mortality excess burden in the 2090 RCP8.5 scenario that is roughly 3.5 times larger than in the baseline period. The combined effect of increased wildfire activity, population growth, and increase in the valuation of avoided risk of premature mortality over time results in a large increase in total economic impact of wildfire-related PM2.5 mortality and morbidity in the continental US, from roughly $7 billion per year in the baseline period to roughly $36 billion per year in 2090 for RCP4.5, and $43 billion per year in RCP8.5. The climate effect alone accounts for a roughly 60% increase in wildfire PM2.5-related premature mortality in the RCP8.5 scenario, relative to baseline conditions.</t>
  </si>
  <si>
    <t>Sorensen, C; House, JA; O'Dell, K; Brey, SJ; Ford, B; Pierce, JR; Fischer, E; Lemery, J; Crooks, JL</t>
  </si>
  <si>
    <t>Associations Between Wildfire-Related PM2.5 and Intensive Care Unit Admissions in the United States, 2006-2015</t>
  </si>
  <si>
    <t>critical care; Intensive Care Unit; particulate matter; smoke; wildfire</t>
  </si>
  <si>
    <t>EMERGENCY-DEPARTMENT VISITS; WILDLAND FIRE SMOKE; AIR-POLLUTION; HOSPITAL ADMISSIONS; PARTICULATE MATTER; HEALTH IMPACTS; CLIMATE-CHANGE; WESTERN US; OCCUPATIONAL-EXPOSURE; FOREST-FIRES</t>
  </si>
  <si>
    <t>Wildfire smoke is a growing public health concern in the United States. Numerous studies have documented associations between ambient smoke exposure and severe patient outcomes for single-fire seasons or limited geographic regions. However, there are few national-scale health studies of wildfire smoke in the United States, few studies investigating Intensive Care Unit (ICU) admissions as an outcome, and few specifically framed around hospital operations. This study retrospectively examined the associations between ambient wildfire-related PM2.5 at a hospital ZIP code with total hospital ICU admissions using a national-scale hospitalization data set. Wildfire smoke was characterized using a combination of kriged PM2.5 monitor observations and satellite-derived plume polygons from National Oceanic and Atmospheric Administration's Hazard Mapping System. ICU admissions data were acquired from Premier, Inc. and encompass 15%-20% of all U.S. ICU admissions during the study period. Associations were estimated using a distributed-lag conditional Poisson model under a time-stratified case-crossover design. We found that a 10 mu g/m(3) increase in daily wildfire PM2.5 was associated with a 2.7% (95% CI: 1.3, 4.1; p = 0.00018) increase in ICU admissions 5 days later. Under stratification, positive associations were found among patients aged 0-20 and 60+, patients living in the Midwest Census Region, patients admitted in the years 2013-2015, and non-Black patients, though other results were mixed. Following a simulated severe 7-day 120 mu g/m(3) smoke event, our results predict ICU bed utilization peaking at 131% (95% CI: 43, 239; p &lt; 10(-5)) over baseline. Our work suggests that hospitals may need to preposition vital critical care resources when severe smoke events are forecast. Plain Language Summary Wildfire smoke negatively affects people's health. Heavy smoke has been linked to higher rates of hospital admissions, emergency room, admissions, and death. However, we do not know the impact of smoke on Intensive Care Unit (ICU) admissions or on limited hospital resources like ICU beds. To fill this knowledge gap, we linked hospital ICU admissions to smoke levels near those hospitals. We also predicted how many ICU admissions would occur during a simulated severe week-long smoke event and how many ICU beds would be needed to care for the patients. We found that the link between smoke and ICU admissions was relatively modest, but a severe smoke event could more than double the number of ICU beds needed.</t>
  </si>
  <si>
    <t>Hahn, MB; Kuiper, G; O'Dell, K; Fischer, EV; Magzamen, S</t>
  </si>
  <si>
    <t>Wildfire Smoke Is Associated With an Increased Risk of Cardiorespiratory Emergency Department Visits in Alaska</t>
  </si>
  <si>
    <t>Alaska; Alaska native; cardiorespiratory; epidemiology; particulate matter; smoke; wildfire</t>
  </si>
  <si>
    <t>FINE PARTICULATE MATTER; RURAL NORTH-CAROLINA; HOSPITAL ADMISSIONS; BOREAL FOREST; FIRE SMOKE; CALIFORNIA WILDFIRES; RESPIRATORY HEALTH; OZONE EXPOSURE; UNITED-STATES; POPULATION</t>
  </si>
  <si>
    <t>Alaskan wildfires have major ecological, social, and economic consequences, but associated health impacts remain unexplored. We estimated cardiorespiratory morbidity associated with wildfire smoke (WFS) fine particulate matter with a diameter less than 2.5 mu m (PM2.5) in three major population centers (Anchorage, Fairbanks, and the Matanuska-Susitna Valley) during the 2015-2019 wildfire seasons. To estimate WFS PM2.5, we utilized data from ground-based monitors and satellite-based smoke plume estimates. We implemented time-stratified case-crossover analyses with single and distributed lag models to estimate the effect of WFS PM2.5 on cardiorespiratory emergency department (ED) visits. On the day of exposure to WFS PM2.5, there was an increased odds of asthma-related ED visits among 15-65 year olds (OR = 1.12, 95% CI = 1.08, 1.16), people &gt;65 years (OR = 1.15, 95% CI = 1.01, 1.31), among Alaska Native people (OR = 1.16, 95% CI = 1.09, 1.23), and in Anchorage (OR = 1.10, 95% CI = 1.05, 1.15) and Fairbanks (OR = 1.12, 95% CI = 1.07, 1.17). There was an increased risk of heart failure related ED visits for Alaska Native people (Lag Day 5 OR = 1.13, 95% CI = 1.02, 1.25). We found evidence that rural populations may delay seeking care. As the frequency and magnitude of Alaskan wildfires continue to increase due to climate change, understanding the health impacts will be imperative. A nuanced understanding of the effects of WFS on specific demographic and geographic groups facilitates data-driven public health interventions and fire management protocols that address these adverse health effects.</t>
  </si>
  <si>
    <t>Efimova, NV; Rukavishnikov, VS</t>
  </si>
  <si>
    <t>Assessment of Smoke Pollution Caused by Wildfires in the Baikal Region (Russia)</t>
  </si>
  <si>
    <t>air pollution; smoke; wildfires; short-term exposure; subchronic exposure; health risk</t>
  </si>
  <si>
    <t>OIL SANDS REGION; AIR-POLLUTION; PARTICULATE MATTER; HEALTH IMPACTS; MORTALITY; ASSOCIATIONS; CLIMATE; ALBERTA; SYDNEY; FOREST</t>
  </si>
  <si>
    <t>Climate change has increased the prevalence of wildfires, resulting in longer fire seasons and larger geographic area burned. The aim of this work was to assess the air pollution and health risk to the population caused during exposure to smoke in fire season. The study design included: an analysis of long-term air pollution to determine background levels; an analysis of short-term (&lt;24 h) and subchronic (10-14 days) concentrations during wildfires; and an assessment of the health risk in the industrial center of the Baikal region (Russia). In Irkutsk, at a distance of 2000 km from the fire focal points, the maximum short-term concentrations of pollution were noted during the smoke period, when the average CO level increased 2.4 times, and PM1 increased 1.4 times relative to the background levels in August 2021. In Bratsk, located near the fires, the increases in short-term concentrations were: CO-21.0; SO2-13.0; formaldehyde-12.0; TPM-4.4 times. The hazard indices of respiratory and coronary diseases in the burning period exceeded the acceptable level. Acute reactions to smoke can be expected in 30% of the exposed population near fires and 11% in remote areas (Bratsk). The results obtained from the remote sensing of atmospheric smoke can be used to urgently resolve the issue of organizing medical assistance or evacuating the population groups most sensitive to the effects of smoke in fire season.</t>
  </si>
  <si>
    <t>Aguilera, R; Corringham, T; Gershunov, A; Benmarhnia, T</t>
  </si>
  <si>
    <t>Wildfire smoke impacts respiratory health more than fine particles from other sources: observational evidence from Southern California</t>
  </si>
  <si>
    <t>SANTA-ANA WINDS; PARTICULATE MATTER; CLIMATE-CHANGE; HOSPITAL ADMISSIONS; EXPOSURE; PM2.5; ASSOCIATIONS; EMISSIONS; LOCATION; COARSE</t>
  </si>
  <si>
    <t>Wildfires are becoming more frequent and destructive in a changing climate. Fine particulate matter, PM2.5, in wildfire smoke adversely impacts human health. Recent toxicological studies suggest that wildfire particulate matter may be more toxic than equal doses of ambient PM2.5. Air quality regulations however assume that the toxicity of PM2.5 does not vary across different sources of emission. Assessing whether PM2.5 from wildfires is more or less harmful than PM2.5 from other sources is a pressing public health concern. Here, we isolate the wildfire-specific PM2.5 using a series of statistical approaches and exposure definitions. We found increases in respiratory hospitalizations ranging from 1.3 to up to 10% with a 10 mu gm(-3) increase in wildfire-specific PM2.5, compared to 0.67 to 1.3% associated with non-wildfire PM2.5. Our conclusions point to the need for air quality policies to consider the variability in PM2.5 impacts on human health according to the sources of emission. Recent toxicological studies suggest that wildfire particulate matter may be more toxic than equal doses of ambient PM2.5. Here, the authors show that even for similar exposure levels, PM2.5 from wildfires is considerably more dangerous for respiratory health at the population level.</t>
  </si>
  <si>
    <t>Malig, BJ; Fairley, D; Pearson, D; Wu, XM; Ebisu, K; Basu, R</t>
  </si>
  <si>
    <t>Examining fine particulate matter and cause-specific morbidity during the 2017 North San Francisco Bay wildfires</t>
  </si>
  <si>
    <t>PM2; 5; Wildfires; Cardiovascular disease; Respiratory disease; Emergency department visits; Hospitalizations</t>
  </si>
  <si>
    <t>EMERGENCY-DEPARTMENT VISITS; WILDLAND FIRE SMOKE; AMBIENT AIR-POLLUTION; HOSPITAL ADMISSIONS; CARDIOVASCULAR-DISEASE; CALIFORNIA WILDFIRES; RESPIRATORY HEALTH; DAILY MORTALITY; ASSOCIATIONS; EXPOSURE</t>
  </si>
  <si>
    <t>Background: Recent increases in wildfire frequency and severity necessitate better understanding of health effects of wildfire smoke to protect affected populations. Objectives: We examined relationships between fine particulate matter (PM2.5) and morbidity during wildfires in California, and whether those relationships differed during the fire compared to a similar non-fire period. Methods: For nine San Francisco Bay Area counties, daily county- level diagnosis-specific counts of emergency department visits (EDVs) and hospitalizations were linked with county-level estimates of daily mean PM2.5 during the October 2017 Northern California wildfires and similar October days in 2015, 2016, and 2017. Associations were estimated using Poisson regression. Results: The median difference between county PM2.5 during the fire versus the non-fire period was 23.4 mu g/ m3, with days exceeding 80 mu g/m3 in some counties. Over the entire study period, PM2.5 was most consistently linked to EDVs for respiratory disease ( RREDV(lag0) per 23.4 mu g/ m3 increase: 1.25, 95% CI: 1.21, 1.30), asthma, chronic lower respiratory disease (CLRD; RREDV(lag0): 1.18, 95% CI: 1.10, 1.27), and acute myocardial infarction (RREDV(lag0): 1.14, 95% CI: 1.03, 1.25). Increases in acute upper respiratory infections and decreases in mental/behavioral EDVs were observed but were sensitive to model specification, specifically the inclusion of time-related covariates. Comparing fire and non-fire period EDV associations, we observed indications that PM2.5 during the fire was more strongly associated with asthma (RRlag0: 1.46, 95% CI: 1.38, 1.55) compared to non-fire period PM2.5 (RRlag0: 0.77, 95% CI: 0.55, 1.08), and the opposite observed for dysrhythmia, with the asthma difference being particularly robust to model choice. For hospitalizations, the most robust PM2.5 relationships were positive associations with respiratory, CLRD, and diabetes, and inverse associations with pneumonia. Respiratory and CLRD effect estimates were generally similar or smaller than for EDVs. Conclusions: Elevated short-term PM2.5 levels from wildfire smoke appears to impact respiratory and other health domains. (c) 2021 Elsevier B.V. All rights reserved.</t>
  </si>
  <si>
    <t>Casey, JA; Kioumourtzoglou, MA; Elser, H; Walker, D; Taylor, S; Adams, S; Aguilera, R; Benmarhnia, T; Catalano, R</t>
  </si>
  <si>
    <t>Wildfire particulate matter in Shasta County, California and respiratory and circulatory disease-related emergency department visits and mortality, 2013-2018</t>
  </si>
  <si>
    <t>Wildfires; Smoke; Cause of death; Respiratory tract diseases; California; Emergency service; Hospital; Air pollution</t>
  </si>
  <si>
    <t>WILDLAND FIRE SMOKE; AIR-POLLUTION; WESTERN US; HEALTH; IMPACT; OZONE</t>
  </si>
  <si>
    <t>Background: Wildfire smoke harms health. We add to this literature by evaluating the health effects of California's 2018 Carr Fire and preceding wildfire seasons in Shasta County. Methods: With data from the Shasta County Health and Human Services Agency, we examined the link between weekly wildfire fine particulate matter (PM2.5) exposure estimated using a spatiotemporal multiple imputation approach and emergency department (ED) visits and mortality using time-series models that controlled for temporal trends and temperature. Results: Between 2013 and 2018, Shasta County experienced 19 weeks with average wildfire PM2.5 &gt;= 5.5 mu g/m(3) (hereafter, high wildfire PM2.5 concentration). Among all Shasta County Zip Code Tabulation Areas (ZCTAs; n = 36), we detected no association between high wildfire PM2.5 concentrations and respiratory or circulatory disease-related ED visits or mortality. Subsequent analyses were confined to valley ZCTAs (n = 11, lower elevation, majority of population, worse air quality in general). In valley ZCTAs, high wildfire PM2.5 was associated with a 14.6% (95% confidence interval [CI] = 4.2, 24.9) increase in same-week respiratory disease-related ED visits but no increase in the subsequent 2 weeks nor on circulatory disease-related mortality or ED visits or all-cause mortality. Two weeks after high wildfire PM2.5 weeks, respiratory disease-related deaths decreased (-31.5%, 95% CI = -64.4, 1.5). The 2018 Carr Fire appeared to increase respiratory disease-related ED visits by 27.0% (95% CI = 4.0, 50.0) over expectation and possibly reduce circulatory disease-related deaths (-18.2%, 95% CI = -39.4, 2.9). Conclusions: As climate change fuels wildfire seasons, studies must continue to evaluate their health effects, particularly in highly exposed populations.</t>
  </si>
  <si>
    <t>Moitra, S; Tabrizi, AF; Fathy, D; Kamravaei, S; Miandashti, N; Henderson, L; Khadour, F; Naseem, MT; Murgia, N; Melenka, L; Lacy, P</t>
  </si>
  <si>
    <t>Short-Term Acute Exposure to Wildfire Smoke and Lung Function among Royal Canadian Mounted Police (RCMP) Officers</t>
  </si>
  <si>
    <t>air pollution; lung function; occupational exposure; wildfire</t>
  </si>
  <si>
    <t>FINE PARTICULATE MATTER; CARBON-MONOXIDE POLLUTION; WILDLAND FIRE SMOKE; RESPIRATORY HEALTH; OZONE EXPOSURE; AIR-POLLUTION; STANDARDIZATION; ASSOCIATIONS; IMPACTS; AIRWAYS</t>
  </si>
  <si>
    <t>The increasing incidence of extreme wildfire is becoming a concern for public health. Although long-term exposure to wildfire smoke is associated with respiratory illnesses, reports on the association between short-term occupational exposure to wildfire smoke and lung function remain scarce. In this cross-sectional study, we analyzed data from 218 Royal Canadian Mounted Police officers (mean age: 38 &amp; PLUSMN; 9 years) deployed at the Fort McMurray wildfires in 2016. Individual exposure to air pollutants was calculated by integrating the duration of exposure with the air quality parameters obtained from the nearest air quality monitoring station during the phase of deployment. Lung function was measured using spirometry and body plethysmography. Association between exposure and lung function was examined using principal component linear regression analysis, adjusting for potential confounders. In our findings, the participants were predominantly male (71%). Mean forced expiratory volume in 1 s (FEV1), and residual volume (RV) were 76.5 &amp; PLUSMN; 5.9 and 80.1 &amp; PLUSMN; 19.5 (% predicted). A marginal association was observed between air pollution and higher RV [beta: 1.55; 95% CI: -0.28 to 3.37 per interquartile change of air pollution index], but not with other lung function indices. The association between air pollution index and RV was significantly higher in participants who were screened within the first three months of deployment (2.80; 0.91 to 4.70) than those screened later (-0.28; -2.58 to 2.03), indicating a stronger effect of air pollution on peripheral airways. Acute short-term exposure to wildfire-associated air pollutants may impose subtle but clinically important deleterious respiratory effects, particularly in the peripheral airways.</t>
  </si>
  <si>
    <t>Fadadu, RP; Grimes, B; Jewell, NP; Vargo, J; Young, AT; Abuabara, K; Balmes, JR; Wei, ML</t>
  </si>
  <si>
    <t>Association of Wildfire Air Pollution and Health Care Use for Atopic Dermatitis and Itch</t>
  </si>
  <si>
    <t>JAMA DERMATOLOGY</t>
  </si>
  <si>
    <t>IMPORTANCE Air pollution is a worldwide public health issue that has been exacerbated by recent wildfires, but the relationship between wildfire-associated air pollution and inflammatory skin diseases is unknown. OBJECTIVE To assess the associations between wildfire-associated air pollution and clinic visits for atopic dermatitis (AD) or itch and prescribed medications for AD management. DESIGN, SETTING, AND PARTICIPANTS This cross-sectional time-series study assessed the associations of air pollution resulting from the California Camp Fire in November 2018 and 8049 dermatology clinic visits (4147 patients) at an academic tertiary care hospital system in San Francisco, 175 miles from the wildfire source. Participants included pediatric and adult patients with AD or itch from before, during, and after the time of the fire (October 2018 through February 2019), compared with those with visits in the same time frame of 2015 and 2016, when no large wildfires were near San Francisco. Data analysis was conducted from November 1, 2019, to May 30, 2020. EXPOSURES Wildfire-associated air pollution was characterized using 3 metrics: fire status, concentration of particulate matter less than 2.5 mu m in diameter (PM2.5), and satellite-based smoke plume density scores. MAIN OUTCOMES AND MEASURES Weekly clinic visit counts for AD or itch were the primary outcomes. Secondary outcomes were weekly numbers of topical and systemic medications prescribed for AD in adults. RESULTS Visits corresponding to a total of 4147 patients (mean [SD] age, 44.6 [21.1] years; 2322 [56%] female) were analyzed. The rates of visits for AD during the Camp Fire for pediatric patients were 1.49 (95% CI, 1.07-2.07) and for adult patients were 1.15 (95% CI, 1.02-1.30) times the rate for nonfire weeks at lag 0, adjusted for temperature, relative humidity, patient age, and total patient volume at the clinics for pediatric patients. The adjusted rate ratios for itch clinic visits during the wildfire weeks were 1.82 (95% CI, 1.20-2.78) for the pediatric patients and 1.29 (95% CI, 0.96-1.75) for adult patients. A 10-mu g/m(3) increase in weekly mean PM2.5 concentration was associated with a 7.7% (95% CI, 1.9%-13.7%) increase in weekly pediatric itch clinic visits. The adjusted rate ratio for prescribed systemic medications in adults during the Camp Fire at lag 0 was 1.45 (95% CI, 1.03-2.05). CONCLUSIONS AND RELEVANCE This cross-sectional study found that short-term exposure to air pollution due to the wildfire was associated with increased health care use for patients with AD and itch. These results may provide a better understanding of the association between poor air quality and skin health and guide health care professionals' counseling of patients with skin disease and public health practice.</t>
  </si>
  <si>
    <t>Chen, GB; Guo, YM; Yue, X; Tong, SL; Gasparrini, A; Bell, ML; Armstrong, B; Schwartz, J; Jaakkola, JJK; Zanobetti, A; Lavigne, E; Saldiva, PHN; Kan, H; Royé, D; Milojevic, A; Overcenco, A; Urban, A; Schneider, A; Entezari, A; Vicedo-Cabrera, AM; Zeka, A; Tobias, A; Nunes, B; Alahmad, B; Forsberg, B; Pan, SC; Iñiguez, C; Ameling, C; Valencia, CDLC; Astrom, C; Houthuijs, D; Dung, DV; Samoli, E; Mayvaneh, F; Sera, F; Carrasco-Escobar, G; Lei, Y; Orru, H; Kim, H; Holobaca, IH; Kysely, J; Teixeira, JP; Madureira, J; Katsouyanni, K; Hurtado-Diaz, M; Maasikmets, M; Ragettli, MS; Hashizume, M; Stafoggia, M; Pascal, M; Scortichini, M; Coelho, MDSZS; Ortega, NV; Ryti, NRI; Scovronick, N; Matus, P; Goodman, P; Garland, RM; Abrutzky, R; Garcia, SO; Rao, S; Fratianni, S; Dang, TN; Colistro, V; Huber, V; Lee, W; Seposo, X; Honda, Y; Guo, YL; Ye, TT; Yu, WH; Abramson, MJ; Samet, JM; Li, SS</t>
  </si>
  <si>
    <t>Mortality risk attributable to wildfire-related PM2•5 pollution: a global time series study in 749 locations</t>
  </si>
  <si>
    <t>EMERGENCY HOSPITAL VISITS; AIR-POLLUTION; PARTICULATE MATTER; HEALTH IMPACTS; AMBIENT PM2.5; SMOKE; EXPOSURE; CHINA; METAANALYSIS; ADMISSIONS</t>
  </si>
  <si>
    <t>Background Many regions of the world are now facing more frequent and unprecedentedly large wildfires. However, the association between wildfire-related PM2 center dot 5 and mortality has not been well characterised. We aimed to comprehensively assess the association between short-term exposure to wildfire-related PM2 center dot 5 and mortality across various regions of the world. Methods For this time series study, data on daily counts of deaths for all causes, cardiovascular causes, and respiratory causes were collected from 749 cities in 43 countries and regions during 2000-16. Daily concentrations of wildfire-related PM2 center dot 5 were estimated using the three-dimensional chemical transport model GEOS-Chem at a 0 center dot 25 degrees x 0 center dot 25 degrees resolution. The association between wildfire-related PM2 center dot 5 exposure and mortality was examined using a quasi-Poisson time series model in each city considering both the current-day and lag effects, and the effect estimates were then pooled using a random-effects meta-analysis. Based on these pooled effect estimates, the population attributable fraction and relative risk (RR) of annual mortality due to acute wildfire-related PM2 center dot 5 exposure was calculated. Findings 65 center dot 6 million all-cause deaths, 15 center dot 1 million cardiovascular deaths, and 6 center dot 8 million respiratory deaths were included in our analyses. The pooled RRs of mortality associated with each 10 mu g/m(3) increase in the 3-day moving average (lag 0-2 days) of wildfire-related PM2 center dot 5 exposure were 1 center dot 019 (95% CI 1 center dot 016-1 center dot 022) for all-cause mortality, 1 center dot 017 (1 center dot 012-1 center dot 021) for cardiovascular mortality, and 1 center dot 019 (1 center dot 013-1 center dot 025) for respiratory mortality. Overall, 0 center dot 62% (95% CI 0 center dot 48-0 center dot 75) of all-cause deaths, 0 center dot 55% (0 center dot 43-0 center dot 67) of cardiovascular deaths, and 0 center dot 64% (0 center dot 50-0 center dot 78) of respiratory deaths were annually attributable to the acute impacts of wildfire-related PM2 center dot 5 exposure during the study period. Interpretation Short-term exposure to wildfire-related PM2 center dot 5 was associated with increased risk of mortality. Urgent action is needed to reduce health risks from the increasing wildfires. Copyright (c) 2021 The Author(s). Published by Elsevier Ltd. This is an Open Access article under the CC BY-NC-ND 4.0 license.</t>
  </si>
  <si>
    <t>Magzamen, S; Gan, RW; Liu, JY; O'Dell, K; Ford, B; Berg, K; Bol, K; Wilson, A; Fischer, EV; Pierce, JR</t>
  </si>
  <si>
    <t>Differential Cardiopulmonary Health Impacts of Local and Long-Range Transport of Wildfire Smoke</t>
  </si>
  <si>
    <t>We estimated cardiopulmonary morbidity and mortality associated with wildfire smoke (WFS) fine particulate matter (PM2.5) in the Front Range of Colorado from 2010 to 2015. To estimate WFS PM2.5, we developed a daily kriged PM2.5 surface at a 15 x 15 km resolution based on the Environmental Protection Agency Air Quality System monitors for the western United States; we subtracted out local seasonal-average PM2.5 of nonsmoky days, identified using satellite-based smoke plume estimates, from the local daily estimated PM2.5 if smoke was identified by National Oceanic and Atmospheric Administration's Hazard Mapping System. We implemented time-stratified case-crossover analyses to estimate the effect of a 10 mu g/m(3) increase in WFS PM2.5 with cardiopulmonary hospitalizations and deaths using single and distributed lag models for lags 0-5 and distinct annual impacts based on local and long-range smoke during 2012, and long-range transport of smoke in 2015. A 10 mu g/m(3) increase in WFS was associated with all respiratory, asthma, and chronic obstructive pulmonary disease hospitalizations for lag day 3 and hospitalizations for ischemic heart disease at lag days 2 and 3. Cardiac arrest deaths were associated with WFS PM2.5 at lag day 0. For 2012 local wildfires, asthma hospitalizations had an inverse association with WFS PM2.5 (OR: 0.716, 95% CI: 0.517-0.993), but a positive association with WFS PM2.5 during the 2015 long-range transport event (OR: 1.455, 95% CI: 1.093-1.939). Cardiovascular mortality was associated with the 2012 long-range transport event (OR: 1.478, 95% CI: 1.124-1.944).</t>
  </si>
  <si>
    <t>Zhou, XD; Josey, K; Kamareddine, L; Caine, MC; Liu, TJ; Mickley, LJ; Cooper, M; Dominici, F</t>
  </si>
  <si>
    <t>Excess of COVID-19 cases and deaths due to fine particulate matter exposure during the 2020 wildfires in the United States</t>
  </si>
  <si>
    <t>WILDLAND FIRE SMOKE; AIR-POLLUTION; HEALTH IMPACTS; MORTALITY; SYSTEM; RISK</t>
  </si>
  <si>
    <t>The year 2020 brought unimaginable challenges in public health, with the confluence of the COVID-19 pandemic and wildfires across the western United States. Wildfires produce high levels of fine particulate matter (PM2.5). Recent studies reported that short-term exposure to PM2.5 is associated with increased risk of COVID-19 cases and deaths. We acquired and linked publicly available daily data on PM2.5, the number of COVID-19 cases and deaths, and other confounders for 92 western U.S. counties that were affected by the 2020 wildfires. We estimated the association between short-term exposure to PM2.5 during the wildfires and the epidemiological dynamics of COVID-19 cases and deaths. We adjusted for several time-varying confounding factors (e.g., weather, seasonality, long-term trends, mobility, and population size). We found strong evidence that wildfires amplified the effect of short-term exposure to PM2.5 on COVID-19 cases and deaths, although with substantial heterogeneity across counties.</t>
  </si>
  <si>
    <t>Howard, C; Rose, C; Dodd, W; Kohle, K; Scott, C; Scott, P; Cunsolo, A; Orbinski, J</t>
  </si>
  <si>
    <t>SOS! Summer of Smoke: a retrospective cohort study examining the cardiorespiratory impacts of a severe and prolonged wildfire season in Canada's high subarctic</t>
  </si>
  <si>
    <t>asthma; accident &amp; emergency medicine; public health</t>
  </si>
  <si>
    <t>Objectives To determine healthcare service utilisation for cardiorespiratory presentations and outpatient salbutamol dispensation associated with 2.5 months of severe, unabating wildfire smoke in Canada's high subarctic. Design A retrospective cohort study using hospital, clinic, pharmacy and environmental data analysed using Poisson regression. Setting Territorial referral hospital and clinics in Yellowknife, Northwest Territories, Canada. Participants Individuals from Yellowknife and surrounding communities presenting for care between 2012 and 2015. Main outcome measures Emergency room (ER) presentations, hospital admissions and clinic visits for cardiorespiratory events, and outpatient salbutamol prescriptions Results The median 24-hour mean particulate matter (PM2.5) was fivefold higher in the summer of 2014 compared with 2012, 2013 and 2015 (median=30.8 mu g/m(3)), with the mean peaking at 320.3 mu g/m(3). A 10 mu g/m(3) increase in PM2.5 was associated with an increase in asthma-related (incidence rate ratio (IRR) (95% CI): 1.11 (1.07, 1.14)) and pneumonia-related ER visits (IRR (95% CI): 1.06 (1.02, 1.10)), as well as an increase in chronic obstructive pulmonary disease hospitalisations (IRR (95% CI): 1.11 (1.02, 1.20). Compared with 2012 and 2013, salbutamol dispensations in 2014 increased by 48%; clinic visits for asthma, pneumonia and cough increased; ER visits for asthma doubled, with the highest rate in females, in adults aged &gt;= 40 years and in Dene people, while pneumonia increased by 57%, with higher rates in males, in individualsaged Conclusions Severe wildfires in 2014 resulted in extended poor air quality associated with increases in health resource utilization; some impacts were seen disproportionately among vulnerable populations, such as children and Indigenous individuals. Public health advisories asking people to stay inside were inadequately protective, with compliance possibly impacted by the prolonged exposure. Future research should investigate use of at-home air filtration systems, clean-air shelters and public health messaging which addresses mental health and supports physical activity.</t>
  </si>
  <si>
    <t>Rodney, RM; Swaminathan, A; Calear, AL; Christensen, BK; Lal, A; Lane, J; Leviston, Z; Reynolds, J; Trevenar, S; Vardoulakis, S; Walker, I</t>
  </si>
  <si>
    <t>Physical and Mental Health Effects of Bushfire and Smoke in the Australian Capital Territory 2019-20</t>
  </si>
  <si>
    <t>bushfire; wildfire; natural disaster; biomass smoke; respiratory health; mental health; Australia</t>
  </si>
  <si>
    <t>AIR-POLLUTION; PSYCHOLOGICAL DISTRESS; NATURAL DISASTER; FIRE SMOKE; SHORT-TERM; MORTALITY; WILDFIRE; OUTCOMES; IMPACTS; SYDNEY</t>
  </si>
  <si>
    <t>The 2019-20 bushfire season in south-eastern Australia was one of the most severe in recorded history. Bushfire smoke-related air pollution reached hazardous levels in major metropolitan areas, including the Australian Capital Territory (ACT), for prolonged periods of time. Bushfire smoke directly challenges human health through effects on respiratory and cardiac function, but can also indirectly affect health, wellbeing and quality of life. Few studies have examined the specific health effects of bushfire smoke, separate from direct effects of fire, and looked beyond physical health symptoms to consider effects on mental health and lifestyle in Australian communities. This paper describes an assessment of the health impacts of this prolonged exposure to hazardous levels of bushfire smoke in the ACT and surrounding area during the 2019-20 bushfire season. An online survey captured information on demographics, health (physical and mental health, sleep) and medical advice seeking from 2,084 adult participants (40% male, median age 45 years). Almost all participants (97%) experienced at least one physical health symptom that they attributed to smoke, most commonly eye or throat irritation, and cough. Over half of responders self-reported symptoms of anxiety and/or feeling depressed and approximately half reported poorer sleep. Women reported all symptoms more frequently than men. Participants with existing medical conditions or poorer self-rated health, parents and those directly affected by fire (in either the current or previous fire seasons) also experienced poorer physical, mental health and/or sleep symptoms. Approximately 17% of people sought advice from a medical health practitioner, most commonly a general practitioner, to manage their symptoms. This study demonstrated that prolonged exposure to bushfire smoke can have substantial effects on health. Holistic approaches to understanding, preventing and mitigating the effects of smoke, not just on physical health but on mental health, and the intersection of these, is important. Improved public health messaging is needed to address uncertainty about how individuals can protect their and their families health for future events. This should be informed by identifying subgroups of the population, such as those with existing health conditions, parents, or those directly exposed to fire who may be at a greater risk.</t>
  </si>
  <si>
    <t>Tarín-Carrasco, P; Augusto, S; Palacios-Peña, L; Ratola, N; Jiménez-Guerrero, P</t>
  </si>
  <si>
    <t>Impact of large wildfires on PM10 levels and human mortality in Portugal</t>
  </si>
  <si>
    <t>MATTER AIR-POLLUTION; WILDLAND FIRE SMOKE; PARTICULATE MATTER; SOUTHERN EUROPE; HEALTH IMPACTS; METEOROLOGICAL FACTORS; HOSPITAL ADMISSIONS; FOREST-FIRES; TEMPERATURE; PARTICLES</t>
  </si>
  <si>
    <t>Uncontrolled wildfires have a substantial impact on the environment, the economy and local populations. According to the European Forest Fire Information System (EFFIS), between 2000 and 2013 wildfires burned up to 740 000 ha of land annually in the south of Europe, Portugal being the country with the highest percentage of burned area per square kilometre. However, there is still a lack of knowledge regarding the impacts of the wildfire-related pollutants on the mortality of the country's population. All wildfires occurring during the fire season (June-July-AugustSeptember) from 2001 and 2016 were identified, and those with a burned area above 1000 ha (large fires) were considered for the study. During the studied period (2001-2016), more than 2 million ha of forest (929 766 ha from June to September alone) were burned in mainland Portugal. Although large fires only represent less than 1% of the number of total fires, in terms of burned area their contribution is 46% (53% from June to September). To assess the spatial impact of the wildfires, burned areas in each region of Portugal were correlated with PM10 concentrations measured at nearby background air quality monitoring stations. Associations between PM10 and all-cause (excluding injuries, poisoning and external causes) and cause-specific mortality (circulatory and respiratory) were studied for the affected populations using Poisson regression models. A significant positive correlation between burned area and PM10 was found in some regions of Portugal, as well as a significant association between PM10 concentrations and mortality, these being apparently related to large wildfires in some of the regions. The north, centre and inland of Portugal are the most affected areas. The high temperatures and long episodes of drought expected in the future will increase the probabilities of extreme events and therefore the occurrence of wildfires.</t>
  </si>
  <si>
    <t>Cherry, N; Barrie, JR; Beach, J; Galarneau, JM; Mhonde, T; Wong, E</t>
  </si>
  <si>
    <t>Respiratory Outcomes of Firefighter Exposures in the Fort McMurray Fire A Cohort Study From Alberta Canada</t>
  </si>
  <si>
    <t>JOURNAL OF OCCUPATIONAL AND ENVIRONMENTAL MEDICINE</t>
  </si>
  <si>
    <t>bronchial wall thickening; firefighters; hyperreactivity; lung function; wildfire</t>
  </si>
  <si>
    <t>WORLD-TRADE-CENTER; HEALTH; SMOKE; WILDFIRE; WORKERS; DISEASE</t>
  </si>
  <si>
    <t>Objective: Determine effects on respiratory health of firefighters attending a catastrophic wildfire. Methods: Within the Alberta Administrative Health Database, we identified five community-based controls for each firefighter in a cohort of 1234 deployed to the 2016 Fort McMurray fire. Spirometry records were identified and a stratified sample assessed clinically. We estimated PM2.5 particles exposure. Results: Firefighters had an increased risk of asthma consultation post-fire (OR new onset asthma = 2.56; 95%CI 1.75 to 3.74). Spirometry showed decreased FEV1 and FVC with increasing exposure. In the clinical assessment, 20% had a positive MCT and 21% BWT. Those with ongoing fire-related symptoms had a higher concurrence of positive MCT and BWT (OR = 4.35; 95%CI 1.11 to 17.12). Lower diffusion capacity related to higher exposure. Conclusions: Massive exposures during a wildfire are associated with non-resolving airways damage.</t>
  </si>
  <si>
    <t>Bernstein, DN; Hamilton, DS; Krasnoff, R; Mahowald, NM; Connelly, DS; Tilmes, S; Hess, PGM</t>
  </si>
  <si>
    <t>Short-term impacts of 2017 western North American wildfires on meteorology, the atmosphere's energy budget, and premature mortality</t>
  </si>
  <si>
    <t>wildfires; aerosol health impacts; meteorology</t>
  </si>
  <si>
    <t>AEROSOLS; EMISSION; CLIMATE</t>
  </si>
  <si>
    <t>Western North American fires have been increasing in magnitude and severity over the last few decades. The complex coupling of fires with the atmospheric energy budget and meteorology creates short-term feedbacks on regional weather altering the amount of pollution to which Americans are exposed. Using a combination of model simulations and observations, this study shows that the severe fires in the summer of 2017 increased atmospheric aerosol concentrations leading to a cooling of the air at the surface, reductions in sensible heat fluxes, and a lowering of the planetary boundary layer height over land. This combination of lower-boundary layer height and increased aerosol pollution from the fires reduces air quality. We estimate that from start of August to end of October 2017, similar to 400 premature deaths occurred within the western US as a result of short-term exposure to elevated PM2.5 from fire smoke. As North America confronts a warming climate with more fires the short-term climate and pollution impacts of increased fire activity should be assessed within policy aimed to minimize impacts of climate change on society.</t>
  </si>
  <si>
    <t>Kiser, D; Elhanan, G; Metcalf, WJ; Schnieder, B; Grzymski, JJ</t>
  </si>
  <si>
    <t>SARS-CoV-2 test positivity rate in Reno, Nevada: association with PM2.5 during the 2020 wildfire smoke events in the western United States</t>
  </si>
  <si>
    <t>AMBIENT AIR-POLLUTION; HEALTH IMPACTS; MORTALITY</t>
  </si>
  <si>
    <t>BACKGROUND: Air pollution has been linked to increased susceptibility to SARS-CoV-2. Thus, it has been suggested that wildfire smoke events may exacerbate the COVID-19 pandemic. OBJECTIVES: Our goal was to examine whether wildfire smoke from the 2020 wildfires in the western United States was associated with an increased rate of SARS-CoV-2 infections in Reno, Nevada. METHODS: We conducted a time-series analysis using generalized additive models to examine the relationship between the SARS-CoV-2 test positivity rate at a large regional hospital in Reno and ambient PM2.5 from 15 May to 20 Oct 2020. RESULTS: We found that a 10 mu g/m(3) increase in the 7-day average PM2.5 concentration was associated with a 6.3% relative increase in the SARS-CoV-2 test positivity rate, with a 95% confidence interval (CI) of 2.5 to 10.3%. This corresponded to an estimated 17.7% (CI: 14.4-20.1%) increase in the number of cases during the time period most affected by wildfire smoke, from 16 Aug to 10 Oct. SIGNIFICANCE: Wildfire smoke may have greatly increased the number of COVID-19 cases in Reno. Thus, our results substantiate the role of air pollution in exacerbating the pandemic and can help guide the development of public preparedness policies in areas affected by wildfire smoke, as wildfires are likely to coincide with the COVID-19 pandemic in 2021.</t>
  </si>
  <si>
    <t>O'Dell, K; Bilsback, K; Ford, B; Martenies, SE; Magzamen, S; Fischer, E; Pierce, JR</t>
  </si>
  <si>
    <t>Estimated Mortality and Morbidity Attributable to Smoke Plumes in the United States: Not Just a Western US Problem</t>
  </si>
  <si>
    <t>air quality; wildfire smoke; PM2; 5; hazardous air pollutants; health impact assessment</t>
  </si>
  <si>
    <t>FINE PARTICULATE MATTER; ANTHROPOGENIC CLIMATE-CHANGE; AIR-QUALITY IMPACTS; HEALTH IMPACTS; GLOBAL BURDEN; CALIFORNIA WILDFIRES; TRACE GASES; EMISSIONS; POLLUTION; TRANSPORT</t>
  </si>
  <si>
    <t>As anthropogenic emissions continue to decline and emissions from landscape (wild, prescribed, and agricultural) fires increase across the coming century, the relative importance of landscape-fire smoke on air quality and health in the United States (US) will increase. Landscape fires are a large source of fine particulate matter (PM2.5), which has known negative impacts on human health. The seasonal and spatial distribution, particle composition, and co-emitted species in landscape-fire emissions are different from anthropogenic sources of PM2.5. The implications of landscape-fire emissions on the sub-national temporal and spatial distribution of health events and the relative health importance of specific pollutants within smoke are not well understood. We use a health impact assessment with observation-based smoke PM2.5 to determine the sub-national distribution of mortality and the sub-national and sub-annual distribution of asthma morbidity attributable to US smoke PM2.5 from 2006 to 2018. We estimate disability-adjusted life years (DALYs) for PM2.5 and 18 gas-phase hazardous air pollutants (HAPs) in smoke. Although the majority of large landscape fires occur in the western US, we find the majority of mortality (74%) and asthma morbidity (on average 75% across 2006-2018) attributable to smoke PM2.5 occurs outside the West, due to higher population density in the East. Across the US, smoke-attributable asthma morbidity predominantly occurs in spring and summer. The number of DALYs associated with smoke PM2.5 is approximately three orders of magnitude higher than DALYs associated with gas-phase smoke HAPs. Our results indicate awareness and mitigation of landscape-fire smoke exposure is important across the US. Plain Language Summary The pollutants from landscape (wild, prescribed, and agricultural) fires are expected to have an increasing impact on air quality and health in the United States (US) across the current century. The implications of landscape-fire smoke on the regional and seasonal distribution of health events and the relative health importance of specific pollutants within smoke are not well understood. In the present study, we assess the seasonal and regional distribution of the health impacts from US smoke exposure from 2006 to 2018. We also estimate the long-term health impacts for both fine particles (PM2.5) and gas-phase hazardous air pollutants (HAPs) in smoke. Although the majority of large landscape fires occur in the western US, we find the majority of deaths (74%) and asthma emergency department visits and hospital admissions (on average 75% across 2006-2018) attributable to smoke occur outside the West. Across the US, smoke-attributable asthma emergency department visits predominantly occur in spring and summer. The long-term health impacts associated with smoke PM2.5 are much higher than the estimated long-term health impacts of gas-phase smoke HAPs. Our results indicate awareness and mitigation of landscape-fire smoke exposure is important across the US, not just in regions in proximity to large wildfires.</t>
  </si>
  <si>
    <t>Graham, AM; Pringle, KJ; Pope, RJ; Arnold, SR; Conibear, LA; Burns, H; Rigby, R; Borchers-Arriagada, N; Butt, EW; Kiely, L; Reddington, C; Spracklen, DV; Woodhouse, MT; Knote, C; McQuaid, JB</t>
  </si>
  <si>
    <t>Impact of the 2019/2020 Australian Megafires on Air Quality and Health</t>
  </si>
  <si>
    <t>air quality; wildfire; bushfire; PM2.5; health impact assessment; Australia</t>
  </si>
  <si>
    <t>PARTICULATE MATTER; PUBLIC-HEALTH; MORTALITY; EMISSION; EXPOSURE; FIRES; SMOKE; TRANSPORT; OZONE; MODEL</t>
  </si>
  <si>
    <t>The Australian 2019/2020 bushfires were unprecedented in their extent and intensity, causing a catastrophic loss of habitat, human and animal life across eastern-Australia. We use a regional air quality model to assess the impact of the bushfires on particulate matter with a diameter less than 2.5 mu m (PM2.5) concentrations and the associated health impact from short-term population exposure to bushfire PM2.5. The mean population Air Quality Index (AQI) exposure between September and February in the fires and no fires simulations indicates an additional similar to 437,000 people were exposed to Poor or worse AQI levels due to the fires. The AQ impact was concentrated in the cities of Sydney, Newcastle-Maitland, Canberra-Queanbeyan and Melbourne. Between October and February 171 (95% CI: 66-291) deaths were brought forward due to short-term exposure to bushfire PM2.5. The health burden was largest in New South Wales (NSW) (109 (95% CI: 41-176) deaths brought forward), Queensland (15 (95% CI: 5-24)), and Victoria (35 (95% CI: 13-56)). This represents 38%, 13% and 30% of the total deaths brought forward by short-term exposure to all PM2.5. At a city-level 65 (95% CI: 24-105), 23 (95% CI: 9-38) and 9 (95% CI: 4-14) deaths were brought forward from short-term exposure to bushfire PM2.5, accounting for 36%, 20%, and 64% of the total deaths brought forward from all PM2.5. Thus, the bushfires caused substantial AQ and health impacts across eastern-Australia. Climate change is projected to increase bushfire risk, therefore future fire management policies should consider this.</t>
  </si>
  <si>
    <t>Kumar, R; Eftekhari, P; Gould, GS</t>
  </si>
  <si>
    <t>Pregnant Women Who Smoke May Be at Greater Risk of Adverse Effects from Bushfires</t>
  </si>
  <si>
    <t>bushfires; wildfires; pregnancy; smoking</t>
  </si>
  <si>
    <t>CARBON-MONOXIDE; BIRTH-WEIGHT; EXPOSURE; TOBACCO</t>
  </si>
  <si>
    <t>Bushfires substantially increase the environmental health risks for people living in affected areas, especially the disadvantaged (e.g., those experiencing health inequities due to their socio-economic status, racial/ethnic backgrounds, geographic location and/or sexual orientation) and those with pre-existing health conditions. Pregnant women exposed to bushfire smoke are at a greater risk of adverse pregnancy and foetal outcomes, especially if they smoke tobacco, which may compound the toxic impacts. Bushfires may also exacerbate mental stress, leading to an increase in smoking. There are gaps in the evidence and more research is required on the combined effect of bushfire smoke and tobacco smoke on pregnant populations.</t>
  </si>
  <si>
    <t>Cruz, BD; Hartwig, TB; Sanders, T; Noetel, M; Parker, P; Antczak, D; Lee, J; Lubans, DR; Bauman, A; Cerin, E; Lonsdale, C</t>
  </si>
  <si>
    <t>The effects of the Australian bushfires on physical activity in children</t>
  </si>
  <si>
    <t>Moderate to vigorous physical activity; Youth; Bushfire; Wildfire; Pollution</t>
  </si>
  <si>
    <t>HEALTH; SMOKE</t>
  </si>
  <si>
    <t>Objectives: To determine the impact of bushfires on children's physical activity. Design: Natural experiment comparing device-measured physical activity and air quality index data for schools exposed and not exposed to the Australian bushfires. Methods: Participants were drawn from 22 schools participating in a cluster randomised controlled trial of a school-based physical activity intervention that coincided with the 2019 Australian bushfires. Students in Years 3 and 4 (8-10 years old) provided data. We used propensity score matching to match 245 exposed and 344 control participants. Main outcome measures: Minutes of moderate and vigorous physical activity. Results: The bushfires had minimal effect on children's average weekly physical activity. Analysis of acute effects showed children maintained their levels of physical activity up to an estimated turning point of air quality index of 737.08 (95% CI = 638.63, 835.53), beyond which daily physical activity levels dropped sharply. Similar results were found for girls and boys and for children from low-to-average and higher socio-economic backgrounds. Conclusions: Children's physical activity was not strongly influenced by the presence of smoke and targeted public health advice during the bushfires might not have had the intended effect of reducing children's outdoor physical activity. Only when air quality deteriorated to approximately 3.5 times the Air Quality index threshold (&gt;200) deemed 'hazardous' by the Australian Department of Health did children's physical activity decline. Public health agencies should re-evaluate the effectiveness of health messages during bushfires and develop strategies to mitigate risks to children's health.</t>
  </si>
  <si>
    <t>Ryan, RG; Silver, JD; Schofield, R</t>
  </si>
  <si>
    <t>Air quality and health impact of 2019-20 Black Summer megafires and COVID-19 lockdown in Melbourne and Sydney, Australia</t>
  </si>
  <si>
    <t>Air quality; Meteorological normalisation; Particulate matter; Pollution health impact; COVID-19; Smoke</t>
  </si>
  <si>
    <t>METEOROLOGICAL NORMALIZATION; POLLUTION; MORTALITY; EVENTS; FOREST; SMOKE</t>
  </si>
  <si>
    <t>Poor air quality is an emerging problem in Australia primarily due to ozone pollution events and lengthening and more severe wildfire seasons. A significant deterioration in air quality was experienced in Australia's most populous cities, Melbourne and Sydney, as a result of fires during the so-called Black Summer which ran from November 2019 through to February 2020. Following this period, social, mobility and economic restrictions to curb the spread of the COVID-19 pandemic were implemented in Australia. We quantify the air quality impact of these contrasting periods in the south-eastern states of Victoria and New South Wales (NSW) using a meteorological normalisation approach. A Random Forest (RF) machine learning algorithm was used to compute baseline time series' of nitrogen dioxide (NO2), ozone (O-3), carbon monoxide CO and particulate matter with diameter &lt; 2.5 mm (PM2.5), based on a 19 year, detrended training dataset. Across Victorian sites, large increases in CO (188%), PM2.5 (322%) and ozone (22%) were observed over the RF prediction in January 2020. In NSW, smaller pollutant increases above the RF prediction were seen (CO 58%, PM2.5 80%, ozone 19%). This can be partly explained by the RF predictions being high compared to the mean of previous months, due to high temperatures and strong wind speeds, highlighting the importance of meteorological normalisation in attributing pollution changes to specific events. From the daily observation-RF prediction differences we estimated 249.8 (95% CI: 156.6-343.) excess deaths and 3490.0 (95% CI 1325.9-5653.5) additional hospitalisations were likely as a result of PM2.5 and O-3 exposure in Victoria and NSW. During April 2019, when COVID-19 restrictions were in place, on average NO2 decreased by 21.5 and 8% in Victoria and NSW respectively. O-3 and PM2.5 remained effectively unchanged in Victoria on average but increased by 20 and 24% in NSWrespectively, supporting the suggestion that community mobility reduced more in Victoria than NSW. Overall the air quality change during the COVID-19 lockdown had a negligible impact on the calculated health outcomes. (C) 2021 Elsevier Ltd. All rights reserved.</t>
  </si>
  <si>
    <t>O'Dwyer, T; Abramson, MJ; Straney, L; Salimi, F; Johnston, F; Wheeler, AJ; O'Keeffe, D; Haikerwal, A; Reisen, F; Hopper, I; Dennekamp, M</t>
  </si>
  <si>
    <t>Sub-Clinical Effects of Outdoor Smoke in Affected Communities</t>
  </si>
  <si>
    <t>smoke; PM2; 5; landscape fire; bushfire; biomarkers; FeNO; neutrophils; white cell count</t>
  </si>
  <si>
    <t>Many Australians are intermittently exposed to landscape fire smoke from wildfires or planned (prescribed) burns. This study aimed to investigate effects of outdoor smoke from planned burns, wildfires and a coal mine fire by assessing biomarkers of inflammation in an exposed and predominantly older population. Participants were recruited from three communities in south-eastern Australia. Concentrations of fine particulate matter (PM2.5) were continuously measured within these communities, with participants performing a range of health measures during and without a smoke event. Changes in biomarkers were examined in response to PM2.5 concentrations from outdoor smoke. Increased levels of FeNO (fractional exhaled nitric oxide) (beta = 0.500 [95%CI 0.192 to 0.808] p &lt; 0.001) at a 4 h lag were associated with a 10 mu g/m(3) increase in PM2.5 levels from outdoor smoke, with effects also shown for wildfire smoke at 4, 12, 24 and 48-h lag periods and coal mine fire smoke at a 4 h lag. Total white cell (beta = -0.088 [-0.171 to -0.006] p = 0.036) and neutrophil counts (beta = -0.077 [-0.144 to -0.010] p = 0.024) declined in response to a 10 mu g/m(3) increase in PM2.5. However, exposure to outdoor smoke resulting from wildfires, planned burns and a coal mine fire was not found to affect other blood biomarkers.</t>
  </si>
  <si>
    <t>Gao, CX; Dimitriadis, C; Ikin, J; Dipnall, JF; Wolfe, R; Sim, MR; Smith, K; Cope, M; Abramson, MJ; Guo, YM</t>
  </si>
  <si>
    <t>Impact of exposure to mine fire emitted PM2.5 on ambulance attendances: A time series analysis from the Hazelwood Health Study</t>
  </si>
  <si>
    <t>Ambulance attendances; PM2.5; Coalmine fire; Respiratory conditions; Fire smoke exposure</t>
  </si>
  <si>
    <t>FINE PARTICULATE MATTER; SHORT-TERM EXPOSURE; AIR-POLLUTION; CALIFORNIA WILDFIRES; HOSPITAL ADMISSIONS; EMERGENCY; AUSTRALIA; MORTALITY; DISPATCHES; SMOKE</t>
  </si>
  <si>
    <t>Background: For six weeks from February 9, 2014, smoke and ash from a fire in the Morwell open cut brown coal mine adjacent to the Hazelwood power station covered parts of the Latrobe Valley, in south eastern Australia. Aims: To evaluate the health impact of the mine fire, daily counts of ambulance attendances from July 2010 to March 2015 were analysed. Methods: Time series models were used to evaluate the relative risk of ambulance attendances during the mine fire, in comparison with the remainder of the analysis period, and to also assess the risk of ambulance attendances associated with lagged effects of exposure to mine fire-related PM2.5 levels. The models controlled for factors likely to influence ambulance attendances including seasonality, long-term temporal trends, day of the week, daily maximum temperature and public holidays. Results: A 10 mu g/m(3) increase in fire-related PM2.5 was found to be associated with a 42% (95%CI: 14-76%) increase in ambulance attendances for respiratory conditions and a 7% (0-14%) increase in all ambulance attendances over a 20-day lag period. A smaller effect associated with exposure to fire-related PM2.5 was identified when assuming shorter lag effects. Similar results were identified when assessing whether ambulance attendances increased during the 30-day mine fire period. There was a 15% (8-21%) increased risk of ambulance attendances for all conditions and a 47% (19-81%) increased risk for respiratory conditions during the mine fire period. Conclusions: Exposure to smoke and ash from a fire in an open cut brown coal mine was associated with increased ambulance attendances, particularly for respiratory conditions. These findings guide the development and implementation of effective and timely strategies and health service planning to respond and mitigate health risks that arise in affected communities during future major air pollution episodes.</t>
  </si>
  <si>
    <t>Pardo, M; Li, CL; Fang, Z; Levin-Zaidman, S; Dezorella, N; Czech, H; Martens, P; Käfer, U; Gröger, T; Rüger, CP; Friederici, L; Zimmermann, R; Rudich, Y</t>
  </si>
  <si>
    <t>Toxicity of Water- and Organic-Soluble Wood Tar Fractions from Biomass Burning in Lung Epithelial Cells</t>
  </si>
  <si>
    <t>CHEMICAL RESEARCH IN TOXICOLOGY</t>
  </si>
  <si>
    <t>FLIGHT MASS-SPECTROMETRY; SHORT-TERM EXPOSURE; PARTICULATE MATTER; DNA-DAMAGE; OXIDATIVE STRESS; SMOKE PARTICLES; CYCLE ARREST; CHEMICAL-CHARACTERIZATION; AIR-POLLUTION; HEALTH</t>
  </si>
  <si>
    <t>Chemistry, Medicinal; Chemistry, Multidisciplinary; Toxicology</t>
  </si>
  <si>
    <t>Widespread smoke from wildfires and biomass burning contributes to air pollution and the deterioration of air quality and human health. A common and major emission of biomass burning, often found in collected smoke particles, is spherical wood tar particles, also known as tar balls. However, the toxicity of wood tar particles and the mechanisms that govern their health impacts and the impact of their complicated chemical matrix are not fully elucidated. To address these questions, we generated wood tar material from wood pyrolysis and isolated two main subfractions: water-soluble and organic-soluble fractions. The chemical characteristics as well as the cytotoxicity, oxidative damage, and DNA damage mechanisms were investigated after exposure of A549 and BEAS-2B lung epithelial cells to wood tar. Our results suggest that both wood tar subfractions reduce cell viability in exposed lung cells; however, these fractions have different modes of action that are related to their physicochemical properties. Exposure to the water-soluble wood tar fraction increased total reactive oxygen species production in the cells, decreased mitochondrial membrane potential (MMP), and induced oxidative damage and cell death, probably through apoptosis. Exposure to the organic-soluble fraction increased superoxide anion production, with a sharp decrease in MMP. DNA damage is a significant process that may explain the course of toxicity of the organic-soluble fraction. For both subfractions, exposure caused cell cycle alterations in the G2/M phase that were induced by upregulation of p21 and p16. Collectively, both subfractions of wood tar are toxic. The water-soluble fraction contains chemicals (such as phenolic compounds) that induce a strong oxidative stress response and penetrate living cells more easily. The organic-soluble fraction contained more polycyclic aromatic hydrocarbons (PAHs) and oxygenated PAHs and induced genotoxic processes, such as DNA damage.</t>
  </si>
  <si>
    <t>Roberts, G; Wooster, MJ</t>
  </si>
  <si>
    <t>Global impact of landscape fire emissions on surface level PM2.5 concentrations, air quality exposure and population mortality</t>
  </si>
  <si>
    <t>PM2; 5; Air quality; Landscape fires; Population mortality</t>
  </si>
  <si>
    <t>FUEL CONSUMPTION DYNAMICS; BIOMASS-BURNING EMISSIONS; WILD-LAND FIRES; PARTICULATE MATTER; UNITED-STATES; SMOKE PLUMES; HUMAN HEALTH; POLLUTION; BURDEN; SYSTEM</t>
  </si>
  <si>
    <t>Airborne fine particulate matter (PM2.5) represents the greatest ambient air pollution risk to health. Wildfires and managed burns, together referred to hereafter as ?landscape? fires, are a significant PM2.5 source in many regions worldwide, able to affect air quality in areas far away from the fires themselves. We use 0.125?, 3 hourly outputs (2016?2019) from the Copernicus Atmospheric Monitoring System (CAMS) to investigate patterns of global population exposure to ambient surface level PM2.5, and specifically to the contribution coming from landscape fires. We calculate both the air quality impacts and annual average mortality at the level of the nation state, and our analysis highlights both the burden of poor air quality and the significance of landscape fire sources in developing nations in particular. We find 143 countries to have an average population weighted (PW) total PM2.5 surface level concentration exceeding the 10 ?g m- 3 guideline recommended by WHO, with 67.2 million people annually exposed to PM2.5 levels classed as ?hazardous? (&gt;250.5 ?g m- 3) according to the US Environmental Protection Agency (EPA) air quality index (AQI). Landscape fires alone result in 44 million people annually being exposed to air quality considered unhealthy (PM2.5 &gt; 55 ?g m- 3), and 4 million to that considered ?hazardous? to health (&gt;250.5 ?g m- 3). Populations in central and west Africa and south and south east Asia are most affected by the landscape fire smoke, and eight countries exceed the WHO annual mean 10 ?g m- 3 guideline from this source only - with the contribution from fires highest in Laos (61% of the total PM2.5), Democratic Republic of Congo (45%) and Sierra Leone (44%). Combining published dose-response functions with these landscape-fire PM2.5 contributions, we estimate that 677,745 premature deaths annually result from exposure to landscape fire smoke, with almost 39% of these in children under five. This mortality represents between 8 and 21% of the estimated 3.2 to 8.9 million people dying annually from outdoor air pollution exposure, highlighting landscape fires as a significant contributor. Our results indicate that environmental programmes aimed at lessening the use of fire in land clearance and agricultural residue management in developing nations would very likely result in significant co-benefits for health.</t>
  </si>
  <si>
    <t>Gupta, A; Sasse, SK; Gruca, MA; Sanford, L; Dowell, RD; Gerber, AN</t>
  </si>
  <si>
    <t>Deconvolution of multiplexed transcriptional responses to wood smoke particles defines rapid aryl hydrocarbon receptor signaling dynamics</t>
  </si>
  <si>
    <t>JOURNAL OF BIOLOGICAL CHEMISTRY</t>
  </si>
  <si>
    <t>NF-KAPPA-B; GLUCOCORTICOID-RECEPTOR; AIR-POLLUTION; CELLS; ACTIVATION; MECHANISMS; REPRESSOR; EXPOSURE; GENOMICS; WILDFIRE</t>
  </si>
  <si>
    <t>The heterogeneity of respirable particulates and compounds complicates our understanding of transcriptional responses to air pollution. Here, we address this by applying precision nuclear run-on sequencing and the assay for transposaseaccessible chromatin sequencing to measure nascent transcription and chromatin accessibility in airway epithelial cells after wood smoke particle (WSP) exposure. We used transcription factor enrichment analysis to identify temporally distinct roles for ternary response factor-serum response factor complexes, the aryl hydrocarbon receptor (AHR), and NF kappa B in regulating transcriptional changes induced by WSP. Transcription of canonical targets of the AHR, such as CYP1A1 and AHRR, was robustly increased after just 30 min of WSP exposure, and we discovered novel AHR-regulated pathways and targets including the DNA methyltransferase, DNMT3L. Transcription of these genes and associated enhancers rapidly returned to near baseline by 120 min after exposure. The kinetics of AHR-and NF kappa B-regulated responses to WSP were distinguishable based on the timing of both transcriptional responses and chromatin remodeling, with induction of several cytokines implicated in maintaining NF kappa B-mediated responses through 120 min of exposure. In aggregate, our data establish a direct and primary role for AHR in mediating airway epithelial responses to WSP and identify crosstalk between AHR and NF kappa B signaling in controlling proinflammatory gene expression. This work also defines an integrated genomics-based strategy for deconvoluting multiplexed transcriptional responses to heterogeneous environmental exposures.</t>
  </si>
  <si>
    <t>Papers per subcategory</t>
  </si>
  <si>
    <t>Total Papers</t>
  </si>
  <si>
    <t xml:space="preserve">Percentace of each subcategory in the total </t>
  </si>
  <si>
    <t>Na</t>
  </si>
  <si>
    <t>Systemic</t>
  </si>
  <si>
    <t>http://dx.doi.org/10.1029/2024GH001037</t>
  </si>
  <si>
    <t>http://dx.doi.org/10.1016/j.scitotenv.2024.171356</t>
  </si>
  <si>
    <t>http://dx.doi.org/10.1007/s13555-023-01080-1</t>
  </si>
  <si>
    <t>http://dx.doi.org/10.1016/S2542-5196(24)00239-0</t>
  </si>
  <si>
    <t>http://dx.doi.org/10.1134/S1875372824700574</t>
  </si>
  <si>
    <t>http://dx.doi.org/10.1016/j.jtos.2024.09.001</t>
  </si>
  <si>
    <t>http://dx.doi.org/10.1126/sciadv.adj7264</t>
  </si>
  <si>
    <t>http://dx.doi.org/10.1016/S2542-5196(24)00117-7</t>
  </si>
  <si>
    <t>http://dx.doi.org/10.1001/jamanetworkopen.2024.50759</t>
  </si>
  <si>
    <t>http://dx.doi.org/10.1016/j.fertnstert.2023.12.026</t>
  </si>
  <si>
    <t>http://dx.doi.org/10.3390/toxics12030201</t>
  </si>
  <si>
    <t>=HYPERLINK("http://dx.doi.org/10.1016/j.scitotenv.2024.171801","http://dx.doi.org/10.1016/j.scitotenv.2024.171801")</t>
  </si>
  <si>
    <t>http://dx.doi.org/10.1016/j.envpol.2024.125022</t>
  </si>
  <si>
    <t>http://dx.doi.org/10.1186/s12940-024-01082-2</t>
  </si>
  <si>
    <t>=RC[3]HYPERLINK("http://dx.doi.org/10.1126/sciadv.adl1252","http://dx.doi.org/10.1126/sciadv.adl1252")</t>
  </si>
  <si>
    <t>=HYPERLINK("http://dx.doi.org/10.1093/annweh/wxae089","http://dx.doi.org/10.1093/annweh/wxae089")</t>
  </si>
  <si>
    <t>http://dx.doi.org/10.3390/ijms251910288</t>
  </si>
  <si>
    <t>http://dx.doi.org/10.1088/1748-9326/ad1b7d</t>
  </si>
  <si>
    <t>http://dx.doi.org/10.1016/j.envint.2024.108583</t>
  </si>
  <si>
    <t>http://dx.doi.org/10.1123/jpah.2024-0305</t>
  </si>
  <si>
    <t>http://dx.doi.org/10.1038/s43247-024-01813-w</t>
  </si>
  <si>
    <t>http://dx.doi.org/10.1001/jamanetworkopen.2024.44593</t>
  </si>
  <si>
    <t>http://dx.doi.org/10.1016/j.scitotenv.2023.168364</t>
  </si>
  <si>
    <t>http://dx.doi.org/10.1038/s41598-024-58721-4</t>
  </si>
  <si>
    <t>http://dx.doi.org/10.3390/toxics12060422</t>
  </si>
  <si>
    <t>http://dx.doi.org/10.3390/healthcare12040428</t>
  </si>
  <si>
    <t>http://dx.doi.org/10.1073/pnas.2403960121</t>
  </si>
  <si>
    <t>http://dx.doi.org/10.1038/s41467-024-54095-3</t>
  </si>
  <si>
    <t>http://dx.doi.org/10.1016/j.envpol.2024.125173</t>
  </si>
  <si>
    <t>http://dx.doi.org/10.1073/pnas.2302409120</t>
  </si>
  <si>
    <t>http://dx.doi.org/10.1016/j.apgeog.2023.103033</t>
  </si>
  <si>
    <t>http://dx.doi.org/10.1186/s12940-023-00998-5</t>
  </si>
  <si>
    <t>http://dx.doi.org/10.3390/atmos14101491</t>
  </si>
  <si>
    <t>http://dx.doi.org/10.1164/rccm.202207-1324OC</t>
  </si>
  <si>
    <t>http://dx.doi.org/10.1029/2023GH000860</t>
  </si>
  <si>
    <t>http://dx.doi.org/10.1016/j.scitotenv.2023.162614</t>
  </si>
  <si>
    <t>http://dx.doi.org/10.1016/j.lana.2023.100482</t>
  </si>
  <si>
    <t>http://dx.doi.org/10.1093/annweh/wxad046</t>
  </si>
  <si>
    <t>http://dx.doi.org/10.1016/j.emcon.2022.100201</t>
  </si>
  <si>
    <t>http://dx.doi.org/10.3390/biom13010155</t>
  </si>
  <si>
    <t>http://dx.doi.org/10.1073/pnas.2221621120</t>
  </si>
  <si>
    <t>http://dx.doi.org/10.1016/j.envres.2023.117154</t>
  </si>
  <si>
    <t>http://dx.doi.org/10.1371/journal.pgph.0001886</t>
  </si>
  <si>
    <t>http://dx.doi.org/10.1186/s12889-023-15957-5</t>
  </si>
  <si>
    <t>http://dx.doi.org/10.1016/j.jhazmat.2023.131779</t>
  </si>
  <si>
    <t>http://dx.doi.org/10.1016/j.envint.2022.107704</t>
  </si>
  <si>
    <t>http://dx.doi.org/10.1073/pnas.2309325120</t>
  </si>
  <si>
    <t>http://dx.doi.org/10.1016/j.gr.2022.04.016</t>
  </si>
  <si>
    <t>http://dx.doi.org/10.4178/epih.e2023003</t>
  </si>
  <si>
    <t>http://dx.doi.org/10.1016/j.joclim.2023.100219</t>
  </si>
  <si>
    <t>http://dx.doi.org/10.1016/j.envint.2023.108045</t>
  </si>
  <si>
    <t>http://dx.doi.org/10.1016/j.envint.2023.107879</t>
  </si>
  <si>
    <t>http://dx.doi.org/10.1111/head.14442</t>
  </si>
  <si>
    <t>http://dx.doi.org/10.1016/j.jenvman.2022.116918</t>
  </si>
  <si>
    <t>http://dx.doi.org/10.1029/2023GH000884</t>
  </si>
  <si>
    <t>http://dx.doi.org/10.24075/vrgmu.2023.028</t>
  </si>
  <si>
    <t>http://dx.doi.org/10.1001/jamaoncol.2023.2144</t>
  </si>
  <si>
    <t>http://dx.doi.org/10.1016/j.puhe.2023.10.032</t>
  </si>
  <si>
    <t>http://dx.doi.org/10.1093/fampra/cmac133</t>
  </si>
  <si>
    <t>http://dx.doi.org/10.1016/S2542-5196(23)00046-3</t>
  </si>
  <si>
    <t>http://dx.doi.org/10.1016/S2542-5196(23)00235-8</t>
  </si>
  <si>
    <t>http://dx.doi.org/10.1164/rccm.202203-0457OC</t>
  </si>
  <si>
    <t>http://dx.doi.org/10.1016/j.jenvp.2023.102071</t>
  </si>
  <si>
    <t>http://dx.doi.org/10.1186/s12940-023-01032-4</t>
  </si>
  <si>
    <t>http://dx.doi.org/10.1016/j.envint.2022.107684</t>
  </si>
  <si>
    <t>http://dx.doi.org/10.1016/j.joclim.2023.100255</t>
  </si>
  <si>
    <t>http://dx.doi.org/10.3390/fire6040159</t>
  </si>
  <si>
    <t>http://dx.doi.org/10.1111/resp.14593</t>
  </si>
  <si>
    <t>http://dx.doi.org/10.1016/j.jenvman.2022.117154</t>
  </si>
  <si>
    <t>http://dx.doi.org/10.1161/CIRCULATIONAHA.121.058058</t>
  </si>
  <si>
    <t>http://dx.doi.org/10.3349/ymj.2022.63.8.774</t>
  </si>
  <si>
    <t>http://dx.doi.org/10.3390/atmos13010058</t>
  </si>
  <si>
    <t>http://dx.doi.org/10.1016/j.ypmed.2022.107333</t>
  </si>
  <si>
    <t>http://dx.doi.org/10.1016/j.ijheh.2021.113901</t>
  </si>
  <si>
    <t>http://dx.doi.org/10.1029/2021GH000526</t>
  </si>
  <si>
    <t>http://dx.doi.org/10.1088/1748-9326/ac4538</t>
  </si>
  <si>
    <t>http://dx.doi.org/10.1186/s12889-021-12411-2</t>
  </si>
  <si>
    <t>http://dx.doi.org/10.3390/ijerph19031241</t>
  </si>
  <si>
    <t>http://dx.doi.org/10.1029/2021GH000578</t>
  </si>
  <si>
    <t>http://dx.doi.org/10.1088/1748-9326/ac4138</t>
  </si>
  <si>
    <t>http://dx.doi.org/10.3389/fped.2022.891616</t>
  </si>
  <si>
    <t>http://dx.doi.org/10.1016/j.lana.2022.100229</t>
  </si>
  <si>
    <t>http://dx.doi.org/10.1111/phn.12986</t>
  </si>
  <si>
    <t>http://dx.doi.org/10.1111/ina.13060</t>
  </si>
  <si>
    <t>http://dx.doi.org/10.1088/2752-5295/ac860e</t>
  </si>
  <si>
    <t>http://dx.doi.org/10.1016/j.scitotenv.2021.151158</t>
  </si>
  <si>
    <t>http://dx.doi.org/10.3390/ijerph19095057</t>
  </si>
  <si>
    <t>http://dx.doi.org/10.3390/ijerph19148492</t>
  </si>
  <si>
    <t>http://dx.doi.org/10.1016/j.envres.2021.111872</t>
  </si>
  <si>
    <t>http://dx.doi.org/10.1029/2021GH000546</t>
  </si>
  <si>
    <t>http://dx.doi.org/10.1093/annweh/wxab117</t>
  </si>
  <si>
    <t>http://dx.doi.org/10.1097/ALN.0000000000004344</t>
  </si>
  <si>
    <t>http://dx.doi.org/10.1002/hsr2.820</t>
  </si>
  <si>
    <t>http://dx.doi.org/10.1371/journal.pmed.1004103</t>
  </si>
  <si>
    <t>http://dx.doi.org/10.1093/ije/dyab206</t>
  </si>
  <si>
    <t>http://dx.doi.org/10.1038/s41467-022-35326-x</t>
  </si>
  <si>
    <t>http://dx.doi.org/10.1016/j.joclim.2022.100113</t>
  </si>
  <si>
    <t>http://dx.doi.org/10.3390/ijerph19010593</t>
  </si>
  <si>
    <t>Breathing Fire': Impact of Prolonged Bushfire Smoke Exposure in People with Severe Asthma</t>
  </si>
  <si>
    <t>http://dx.doi.org/10.3390/ijerph19127419</t>
  </si>
  <si>
    <t>http://dx.doi.org/10.1289/EHP10498</t>
  </si>
  <si>
    <t>http://dx.doi.org/10.1016/j.envres.2022.113738</t>
  </si>
  <si>
    <t>http://dx.doi.org/10.1016/j.chemosphere.2021.131808</t>
  </si>
  <si>
    <t>http://dx.doi.org/10.1038/s41598-022-23388-2</t>
  </si>
  <si>
    <t>http://dx.doi.org/10.1093/ije/dyab100</t>
  </si>
  <si>
    <t>http://dx.doi.org/10.1016/j.scitotenv.2021.152226</t>
  </si>
  <si>
    <t>http://dx.doi.org/10.1152/ajplung.00362.2021</t>
  </si>
  <si>
    <t>http://dx.doi.org/10.1029/2020GH000359</t>
  </si>
  <si>
    <t>http://dx.doi.org/10.3390/ijerph18136987</t>
  </si>
  <si>
    <t>http://dx.doi.org/10.1016/j.envres.2021.111159</t>
  </si>
  <si>
    <t>http://dx.doi.org/10.1029/2021GH000414</t>
  </si>
  <si>
    <t>http://dx.doi.org/10.3390/ijerph18073538</t>
  </si>
  <si>
    <t>http://dx.doi.org/10.3389/fpubh.2021.499309</t>
  </si>
  <si>
    <t>http://dx.doi.org/10.1088/1748-9326/abe82b</t>
  </si>
  <si>
    <t>http://dx.doi.org/10.1029/2021GH000385</t>
  </si>
  <si>
    <t>http://dx.doi.org/10.1029/2020GH000349</t>
  </si>
  <si>
    <t>http://dx.doi.org/10.3390/atmos12121542</t>
  </si>
  <si>
    <t>http://dx.doi.org/10.1038/s41467-021-21708-0</t>
  </si>
  <si>
    <t>http://dx.doi.org/10.1016/j.scitotenv.2021.147507</t>
  </si>
  <si>
    <t>http://dx.doi.org/10.1097/EE9.0000000000000124</t>
  </si>
  <si>
    <t>http://dx.doi.org/10.3390/ijerph182211787</t>
  </si>
  <si>
    <t>http://dx.doi.org/10.1001/jamadermatol.2021.0179</t>
  </si>
  <si>
    <t>http://dx.doi.org/10.1016/S2542-5196(21)00200-X</t>
  </si>
  <si>
    <t>http://dx.doi.org/10.1029/2020GH000330</t>
  </si>
  <si>
    <t>http://dx.doi.org/10.1126/sciadv.abi8789</t>
  </si>
  <si>
    <t>http://dx.doi.org/10.1136/bmjopen-2020-037029</t>
  </si>
  <si>
    <t>http://dx.doi.org/10.3389/fpubh.2021.682402</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</si>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</sst>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0"/>
      <color indexed="8"/>
      <name val="Arial"/>
    </font>
    <font>
      <sz val="11"/>
      <color theme="1"/>
      <name val="Helvetica Neue"/>
      <family val="2"/>
      <scheme val="minor"/>
    </font>
    <font>
      <b/>
      <sz val="11"/>
      <color theme="1"/>
      <name val="Helvetica Neue"/>
      <family val="2"/>
      <scheme val="minor"/>
    </font>
    <font>
      <sz val="10"/>
      <color indexed="8"/>
      <name val="Arial"/>
      <family val="2"/>
    </font>
    <font>
      <sz val="10"/>
      <color rgb="FF000000"/>
      <name val="Arial"/>
      <family val="2"/>
    </font>
    <font>
      <b/>
      <sz val="10"/>
      <color indexed="8"/>
      <name val="Arial"/>
      <family val="2"/>
    </font>
    <font>
      <b/>
      <sz val="11"/>
      <color rgb="FF000000"/>
      <name val="Helvetica Neue (Body)"/>
    </font>
    <font>
      <u/>
      <sz val="10"/>
      <color theme="10"/>
      <name val="Arial"/>
      <family val="2"/>
    </font>
    <font>
      <sz val="10"/>
      <color theme="1"/>
      <name val="Arial"/>
      <family val="2"/>
    </font>
    <font>
      <sz val="11"/>
      <color rgb="FF000000"/>
      <name val="Helvetica Neue (Body)"/>
    </font>
  </fonts>
  <fills count="5">
    <fill>
      <patternFill patternType="none"/>
    </fill>
    <fill>
      <patternFill patternType="gray125"/>
    </fill>
    <fill>
      <patternFill patternType="solid">
        <fgColor rgb="FF92D050"/>
        <bgColor indexed="64"/>
      </patternFill>
    </fill>
    <fill>
      <patternFill patternType="solid">
        <fgColor rgb="FF92D050"/>
        <bgColor rgb="FF000000"/>
      </patternFill>
    </fill>
    <fill>
      <patternFill patternType="solid">
        <fgColor theme="0"/>
        <bgColor indexed="64"/>
      </patternFill>
    </fill>
  </fills>
  <borders count="22">
    <border>
      <left/>
      <right/>
      <top/>
      <bottom/>
      <diagonal/>
    </border>
    <border>
      <left style="thin">
        <color indexed="9"/>
      </left>
      <right style="thin">
        <color indexed="9"/>
      </right>
      <top style="thin">
        <color indexed="9"/>
      </top>
      <bottom style="thin">
        <color indexed="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indexed="64"/>
      </bottom>
      <diagonal/>
    </border>
    <border>
      <left style="thin">
        <color indexed="64"/>
      </left>
      <right/>
      <top style="thin">
        <color rgb="FF000000"/>
      </top>
      <bottom style="thin">
        <color indexed="64"/>
      </bottom>
      <diagonal/>
    </border>
    <border>
      <left/>
      <right style="thin">
        <color indexed="64"/>
      </right>
      <top/>
      <bottom style="thin">
        <color indexed="64"/>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2">
    <xf numFmtId="0" fontId="0" fillId="0" borderId="0" applyNumberFormat="0" applyFill="0" applyBorder="0" applyProtection="0"/>
    <xf numFmtId="0" fontId="7" fillId="0" borderId="0" applyNumberFormat="0" applyFill="0" applyBorder="0" applyAlignment="0" applyProtection="0"/>
  </cellStyleXfs>
  <cellXfs count="86">
    <xf numFmtId="0" fontId="0" fillId="0" borderId="0" xfId="0"/>
    <xf numFmtId="0" fontId="0" fillId="0" borderId="0" xfId="0" applyNumberFormat="1"/>
    <xf numFmtId="0" fontId="0" fillId="0" borderId="6" xfId="0" applyBorder="1"/>
    <xf numFmtId="0" fontId="0" fillId="0" borderId="7" xfId="0" applyBorder="1"/>
    <xf numFmtId="0" fontId="0" fillId="0" borderId="0" xfId="0" applyBorder="1"/>
    <xf numFmtId="0" fontId="0" fillId="0" borderId="0" xfId="0" applyNumberFormat="1" applyFill="1" applyBorder="1"/>
    <xf numFmtId="164" fontId="0" fillId="0" borderId="0" xfId="0" applyNumberFormat="1"/>
    <xf numFmtId="0" fontId="3" fillId="2" borderId="0" xfId="0" applyFont="1" applyFill="1"/>
    <xf numFmtId="49" fontId="3" fillId="2" borderId="1" xfId="0" applyNumberFormat="1" applyFont="1" applyFill="1" applyBorder="1" applyAlignment="1">
      <alignment wrapText="1"/>
    </xf>
    <xf numFmtId="0" fontId="3" fillId="2" borderId="0" xfId="0" applyNumberFormat="1" applyFont="1" applyFill="1"/>
    <xf numFmtId="49" fontId="3" fillId="2" borderId="1" xfId="0" applyNumberFormat="1" applyFont="1" applyFill="1" applyBorder="1"/>
    <xf numFmtId="0" fontId="3" fillId="2" borderId="0" xfId="0" applyNumberFormat="1" applyFont="1" applyFill="1" applyBorder="1"/>
    <xf numFmtId="0" fontId="4" fillId="2" borderId="0" xfId="0" applyNumberFormat="1" applyFont="1" applyFill="1"/>
    <xf numFmtId="0" fontId="4" fillId="2" borderId="0" xfId="0" applyFont="1" applyFill="1"/>
    <xf numFmtId="0" fontId="4" fillId="2" borderId="0" xfId="0" applyNumberFormat="1" applyFont="1" applyFill="1" applyBorder="1"/>
    <xf numFmtId="0" fontId="3" fillId="2" borderId="1" xfId="0" applyNumberFormat="1" applyFont="1" applyFill="1" applyBorder="1"/>
    <xf numFmtId="0" fontId="3" fillId="2" borderId="1" xfId="0" applyFont="1" applyFill="1" applyBorder="1"/>
    <xf numFmtId="0" fontId="0" fillId="0" borderId="0" xfId="0" applyFill="1" applyBorder="1"/>
    <xf numFmtId="0" fontId="3" fillId="0" borderId="0" xfId="0" applyFont="1"/>
    <xf numFmtId="49" fontId="4" fillId="2" borderId="1" xfId="0" applyNumberFormat="1" applyFont="1" applyFill="1" applyBorder="1"/>
    <xf numFmtId="0" fontId="4" fillId="2" borderId="1" xfId="0" applyFont="1" applyFill="1" applyBorder="1"/>
    <xf numFmtId="49" fontId="4" fillId="2" borderId="1" xfId="0" applyNumberFormat="1" applyFont="1" applyFill="1" applyBorder="1" applyAlignment="1">
      <alignment wrapText="1"/>
    </xf>
    <xf numFmtId="0" fontId="4" fillId="2" borderId="14" xfId="0" applyFont="1" applyFill="1" applyBorder="1"/>
    <xf numFmtId="0" fontId="4" fillId="2" borderId="15" xfId="0" applyFont="1" applyFill="1" applyBorder="1"/>
    <xf numFmtId="0" fontId="4" fillId="2" borderId="15" xfId="0" applyFont="1" applyFill="1" applyBorder="1" applyAlignment="1">
      <alignment wrapText="1"/>
    </xf>
    <xf numFmtId="0" fontId="4" fillId="2" borderId="0" xfId="0" applyFont="1" applyFill="1" applyBorder="1"/>
    <xf numFmtId="0" fontId="4" fillId="2" borderId="16" xfId="0" applyFont="1" applyFill="1" applyBorder="1"/>
    <xf numFmtId="0" fontId="4" fillId="2" borderId="17" xfId="0" applyFont="1" applyFill="1" applyBorder="1"/>
    <xf numFmtId="0" fontId="4" fillId="2" borderId="18" xfId="0" applyFont="1" applyFill="1" applyBorder="1"/>
    <xf numFmtId="0" fontId="4" fillId="2" borderId="19" xfId="0" applyFont="1" applyFill="1" applyBorder="1"/>
    <xf numFmtId="0" fontId="4" fillId="2" borderId="19" xfId="0" applyFont="1" applyFill="1" applyBorder="1" applyAlignment="1">
      <alignment wrapText="1"/>
    </xf>
    <xf numFmtId="0" fontId="4" fillId="2" borderId="20" xfId="0" applyFont="1" applyFill="1" applyBorder="1"/>
    <xf numFmtId="0" fontId="4" fillId="2" borderId="21" xfId="0" applyFont="1" applyFill="1" applyBorder="1"/>
    <xf numFmtId="0" fontId="4" fillId="2" borderId="21" xfId="0" applyFont="1" applyFill="1" applyBorder="1" applyAlignment="1">
      <alignment wrapText="1"/>
    </xf>
    <xf numFmtId="0" fontId="4" fillId="2" borderId="18" xfId="0" applyFont="1" applyFill="1" applyBorder="1" applyAlignment="1">
      <alignment wrapText="1"/>
    </xf>
    <xf numFmtId="0" fontId="4" fillId="2" borderId="18" xfId="0" quotePrefix="1" applyFont="1" applyFill="1" applyBorder="1"/>
    <xf numFmtId="0" fontId="4" fillId="2" borderId="17" xfId="0" applyFont="1" applyFill="1" applyBorder="1" applyAlignment="1">
      <alignment wrapText="1"/>
    </xf>
    <xf numFmtId="0" fontId="8" fillId="2" borderId="0" xfId="0" applyFont="1" applyFill="1"/>
    <xf numFmtId="0" fontId="0" fillId="4" borderId="0" xfId="0" applyFill="1"/>
    <xf numFmtId="0" fontId="3" fillId="4" borderId="0" xfId="0" applyFont="1" applyFill="1"/>
    <xf numFmtId="0" fontId="0" fillId="4" borderId="0" xfId="0" applyNumberFormat="1" applyFill="1"/>
    <xf numFmtId="164" fontId="0" fillId="4" borderId="0" xfId="0" applyNumberFormat="1" applyFill="1"/>
    <xf numFmtId="0" fontId="4" fillId="3" borderId="18" xfId="0" applyFont="1" applyFill="1" applyBorder="1"/>
    <xf numFmtId="0" fontId="4" fillId="3" borderId="18" xfId="0" applyFont="1" applyFill="1" applyBorder="1" applyAlignment="1">
      <alignment wrapText="1"/>
    </xf>
    <xf numFmtId="0" fontId="4" fillId="3" borderId="0" xfId="0" applyFont="1" applyFill="1"/>
    <xf numFmtId="0" fontId="2" fillId="0" borderId="2" xfId="0" applyFont="1" applyBorder="1" applyAlignment="1">
      <alignment horizontal="center"/>
    </xf>
    <xf numFmtId="0" fontId="5" fillId="0" borderId="0" xfId="0" applyFont="1" applyAlignment="1">
      <alignment horizontal="center"/>
    </xf>
    <xf numFmtId="0" fontId="5" fillId="4" borderId="0" xfId="0" applyFont="1" applyFill="1" applyAlignment="1">
      <alignment horizontal="center"/>
    </xf>
    <xf numFmtId="0" fontId="6" fillId="0" borderId="8" xfId="0" applyNumberFormat="1" applyFont="1" applyBorder="1" applyAlignment="1">
      <alignment horizontal="center"/>
    </xf>
    <xf numFmtId="0" fontId="6" fillId="0" borderId="11" xfId="0" applyNumberFormat="1" applyFont="1" applyBorder="1" applyAlignment="1">
      <alignment horizontal="center"/>
    </xf>
    <xf numFmtId="0" fontId="5" fillId="0" borderId="11" xfId="0" applyNumberFormat="1" applyFont="1" applyBorder="1" applyAlignment="1">
      <alignment horizontal="center"/>
    </xf>
    <xf numFmtId="0" fontId="5" fillId="0" borderId="13"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12"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3" fillId="2" borderId="0" xfId="0" applyNumberFormat="1" applyFont="1" applyFill="1" applyAlignment="1">
      <alignment wrapText="1"/>
    </xf>
    <xf numFmtId="0" fontId="3" fillId="2" borderId="6" xfId="0" applyFont="1" applyFill="1" applyBorder="1"/>
    <xf numFmtId="0" fontId="3" fillId="2" borderId="7" xfId="0" applyFont="1" applyFill="1" applyBorder="1"/>
    <xf numFmtId="0" fontId="3" fillId="2" borderId="0" xfId="0" applyFont="1" applyFill="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2" xfId="0" applyFont="1" applyFill="1" applyBorder="1" applyAlignment="1">
      <alignment horizontal="center"/>
    </xf>
    <xf numFmtId="0" fontId="1" fillId="2" borderId="12"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9" fillId="2" borderId="8" xfId="0" applyNumberFormat="1" applyFont="1" applyFill="1" applyBorder="1" applyAlignment="1">
      <alignment horizontal="center"/>
    </xf>
    <xf numFmtId="0" fontId="9" fillId="2" borderId="11" xfId="0" applyNumberFormat="1" applyFont="1" applyFill="1" applyBorder="1" applyAlignment="1">
      <alignment horizontal="center"/>
    </xf>
    <xf numFmtId="0" fontId="3" fillId="2" borderId="11" xfId="0" applyNumberFormat="1" applyFont="1" applyFill="1" applyBorder="1" applyAlignment="1">
      <alignment horizontal="center"/>
    </xf>
    <xf numFmtId="0" fontId="3" fillId="2" borderId="13" xfId="0" applyNumberFormat="1" applyFont="1" applyFill="1" applyBorder="1" applyAlignment="1">
      <alignment horizontal="center"/>
    </xf>
    <xf numFmtId="0" fontId="7" fillId="2" borderId="15" xfId="1" applyFont="1" applyFill="1" applyBorder="1" applyAlignment="1"/>
    <xf numFmtId="0" fontId="7" fillId="2" borderId="17" xfId="1" applyFont="1" applyFill="1" applyBorder="1" applyAlignment="1"/>
    <xf numFmtId="0" fontId="7" fillId="2" borderId="18" xfId="1" applyFont="1" applyFill="1" applyBorder="1" applyAlignment="1"/>
    <xf numFmtId="0" fontId="7" fillId="3" borderId="18" xfId="1" applyFont="1" applyFill="1" applyBorder="1" applyAlignment="1"/>
    <xf numFmtId="0" fontId="7" fillId="2" borderId="18" xfId="1" quotePrefix="1" applyFont="1" applyFill="1" applyBorder="1" applyAlignment="1"/>
    <xf numFmtId="0" fontId="4" fillId="2" borderId="0" xfId="0" applyFont="1" applyFill="1" applyAlignment="1">
      <alignment wrapText="1"/>
    </xf>
    <xf numFmtId="0" fontId="7" fillId="2" borderId="19" xfId="1" applyFont="1" applyFill="1" applyBorder="1" applyAlignment="1"/>
    <xf numFmtId="0" fontId="8" fillId="2" borderId="0" xfId="0" applyFont="1" applyFill="1" applyBorder="1"/>
    <xf numFmtId="0" fontId="7" fillId="3" borderId="18" xfId="1" applyFont="1" applyFill="1" applyBorder="1"/>
    <xf numFmtId="0" fontId="7" fillId="2" borderId="21" xfId="1" applyFont="1" applyFill="1" applyBorder="1" applyAlignment="1"/>
    <xf numFmtId="0" fontId="7" fillId="2" borderId="18" xfId="1" applyFont="1" applyFill="1" applyBorder="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00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Fire Type</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selection'!$J$194:$K$194</c:f>
              <c:strCache>
                <c:ptCount val="2"/>
                <c:pt idx="0">
                  <c:v>Wildfire</c:v>
                </c:pt>
                <c:pt idx="1">
                  <c:v>Urban </c:v>
                </c:pt>
              </c:strCache>
            </c:strRef>
          </c:cat>
          <c:val>
            <c:numRef>
              <c:f>'All green selection'!$J$197:$K$197</c:f>
              <c:numCache>
                <c:formatCode>0.0</c:formatCode>
                <c:ptCount val="2"/>
                <c:pt idx="0">
                  <c:v>100</c:v>
                </c:pt>
                <c:pt idx="1">
                  <c:v>1.098901098901099</c:v>
                </c:pt>
              </c:numCache>
            </c:numRef>
          </c:val>
          <c:extLst>
            <c:ext xmlns:c16="http://schemas.microsoft.com/office/drawing/2014/chart" uri="{C3380CC4-5D6E-409C-BE32-E72D297353CC}">
              <c16:uniqueId val="{00000000-0954-438C-B0EB-A101E7F63781}"/>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Fire Type</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selection'!$M$194:$N$194</c:f>
              <c:strCache>
                <c:ptCount val="2"/>
                <c:pt idx="0">
                  <c:v>Short-term (&lt;1 month)</c:v>
                </c:pt>
                <c:pt idx="1">
                  <c:v>Long-term (≥ 1 month)</c:v>
                </c:pt>
              </c:strCache>
            </c:strRef>
          </c:cat>
          <c:val>
            <c:numRef>
              <c:f>'All green selection'!$M$197:$N$197</c:f>
              <c:numCache>
                <c:formatCode>0.0</c:formatCode>
                <c:ptCount val="2"/>
                <c:pt idx="0">
                  <c:v>29.670329670329672</c:v>
                </c:pt>
                <c:pt idx="1">
                  <c:v>84.065934065934073</c:v>
                </c:pt>
              </c:numCache>
            </c:numRef>
          </c:val>
          <c:extLst>
            <c:ext xmlns:c16="http://schemas.microsoft.com/office/drawing/2014/chart" uri="{C3380CC4-5D6E-409C-BE32-E72D297353CC}">
              <c16:uniqueId val="{00000000-378C-4731-9A80-CEB3FB405BF9}"/>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40" b="1" i="0" u="none" strike="noStrike" baseline="0">
                <a:effectLst/>
              </a:rPr>
              <a:t>Particle Size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selection'!$P$194:$R$194</c:f>
              <c:strCache>
                <c:ptCount val="3"/>
                <c:pt idx="0">
                  <c:v>PM2.5</c:v>
                </c:pt>
                <c:pt idx="1">
                  <c:v>PM10</c:v>
                </c:pt>
                <c:pt idx="2">
                  <c:v>Other</c:v>
                </c:pt>
              </c:strCache>
            </c:strRef>
          </c:cat>
          <c:val>
            <c:numRef>
              <c:f>'All green selection'!$P$197:$R$197</c:f>
              <c:numCache>
                <c:formatCode>0.0</c:formatCode>
                <c:ptCount val="3"/>
                <c:pt idx="0">
                  <c:v>74.72527472527473</c:v>
                </c:pt>
                <c:pt idx="1">
                  <c:v>10.43956043956044</c:v>
                </c:pt>
                <c:pt idx="2">
                  <c:v>10.989010989010989</c:v>
                </c:pt>
              </c:numCache>
            </c:numRef>
          </c:val>
          <c:extLst>
            <c:ext xmlns:c16="http://schemas.microsoft.com/office/drawing/2014/chart" uri="{C3380CC4-5D6E-409C-BE32-E72D297353CC}">
              <c16:uniqueId val="{00000000-D675-4678-A664-C7A5262F4E31}"/>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Particle Classification</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selection'!$T$194:$V$194</c:f>
              <c:strCache>
                <c:ptCount val="3"/>
                <c:pt idx="0">
                  <c:v>Organic</c:v>
                </c:pt>
                <c:pt idx="1">
                  <c:v>Trace elements</c:v>
                </c:pt>
                <c:pt idx="2">
                  <c:v>Inorganic</c:v>
                </c:pt>
              </c:strCache>
            </c:strRef>
          </c:cat>
          <c:val>
            <c:numRef>
              <c:f>'All green selection'!$T$197:$V$197</c:f>
              <c:numCache>
                <c:formatCode>0.0</c:formatCode>
                <c:ptCount val="3"/>
                <c:pt idx="0">
                  <c:v>29.120879120879124</c:v>
                </c:pt>
                <c:pt idx="1">
                  <c:v>9.8901098901098905</c:v>
                </c:pt>
                <c:pt idx="2">
                  <c:v>32.417582417582416</c:v>
                </c:pt>
              </c:numCache>
            </c:numRef>
          </c:val>
          <c:extLst>
            <c:ext xmlns:c16="http://schemas.microsoft.com/office/drawing/2014/chart" uri="{C3380CC4-5D6E-409C-BE32-E72D297353CC}">
              <c16:uniqueId val="{00000000-4EC0-4811-B973-9AB0C5B7BF01}"/>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Organ System </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selection'!$X$194:$AI$194</c:f>
              <c:strCache>
                <c:ptCount val="12"/>
                <c:pt idx="0">
                  <c:v>Cardiovascular</c:v>
                </c:pt>
                <c:pt idx="1">
                  <c:v>Digestive</c:v>
                </c:pt>
                <c:pt idx="2">
                  <c:v>Endocrine</c:v>
                </c:pt>
                <c:pt idx="3">
                  <c:v>Integumentary</c:v>
                </c:pt>
                <c:pt idx="4">
                  <c:v>Lymphatic</c:v>
                </c:pt>
                <c:pt idx="5">
                  <c:v>Muscular</c:v>
                </c:pt>
                <c:pt idx="6">
                  <c:v>Nervous</c:v>
                </c:pt>
                <c:pt idx="7">
                  <c:v>Reproductive</c:v>
                </c:pt>
                <c:pt idx="8">
                  <c:v>Respiratory</c:v>
                </c:pt>
                <c:pt idx="9">
                  <c:v>Skeletal</c:v>
                </c:pt>
                <c:pt idx="10">
                  <c:v>Urinary </c:v>
                </c:pt>
                <c:pt idx="11">
                  <c:v>Entire Body</c:v>
                </c:pt>
              </c:strCache>
            </c:strRef>
          </c:cat>
          <c:val>
            <c:numRef>
              <c:f>'All green selection'!$X$197:$AI$197</c:f>
              <c:numCache>
                <c:formatCode>0.0</c:formatCode>
                <c:ptCount val="12"/>
                <c:pt idx="0">
                  <c:v>17.032967032967033</c:v>
                </c:pt>
                <c:pt idx="1">
                  <c:v>2.197802197802198</c:v>
                </c:pt>
                <c:pt idx="2">
                  <c:v>3.296703296703297</c:v>
                </c:pt>
                <c:pt idx="3">
                  <c:v>3.296703296703297</c:v>
                </c:pt>
                <c:pt idx="4">
                  <c:v>0.5494505494505495</c:v>
                </c:pt>
                <c:pt idx="5">
                  <c:v>0.5494505494505495</c:v>
                </c:pt>
                <c:pt idx="6">
                  <c:v>9.3406593406593412</c:v>
                </c:pt>
                <c:pt idx="7">
                  <c:v>8.2417582417582409</c:v>
                </c:pt>
                <c:pt idx="8">
                  <c:v>53.296703296703299</c:v>
                </c:pt>
                <c:pt idx="9">
                  <c:v>2.197802197802198</c:v>
                </c:pt>
                <c:pt idx="10">
                  <c:v>3.8461538461538463</c:v>
                </c:pt>
                <c:pt idx="11">
                  <c:v>36.263736263736263</c:v>
                </c:pt>
              </c:numCache>
            </c:numRef>
          </c:val>
          <c:extLst>
            <c:ext xmlns:c16="http://schemas.microsoft.com/office/drawing/2014/chart" uri="{C3380CC4-5D6E-409C-BE32-E72D297353CC}">
              <c16:uniqueId val="{00000000-C3FA-414F-B318-31AF29668FBB}"/>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40" b="1" i="0" u="none" strike="noStrike" baseline="0">
                <a:effectLst/>
              </a:rPr>
              <a:t>Study Population</a:t>
            </a:r>
            <a:r>
              <a:rPr lang="en-US" sz="1440" b="1" i="0" u="none" strike="noStrike" baseline="0"/>
              <a:t> </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selection'!$AK$194:$AN$194</c:f>
              <c:strCache>
                <c:ptCount val="4"/>
                <c:pt idx="0">
                  <c:v>Pediatric</c:v>
                </c:pt>
                <c:pt idx="1">
                  <c:v>Adult</c:v>
                </c:pt>
                <c:pt idx="2">
                  <c:v>Geriatric</c:v>
                </c:pt>
                <c:pt idx="3">
                  <c:v>Highly-exposed occupation</c:v>
                </c:pt>
              </c:strCache>
            </c:strRef>
          </c:cat>
          <c:val>
            <c:numRef>
              <c:f>'All green selection'!$AK$197:$AN$197</c:f>
              <c:numCache>
                <c:formatCode>0.0</c:formatCode>
                <c:ptCount val="4"/>
                <c:pt idx="0">
                  <c:v>34.065934065934066</c:v>
                </c:pt>
                <c:pt idx="1">
                  <c:v>54.395604395604394</c:v>
                </c:pt>
                <c:pt idx="2">
                  <c:v>38.461538461538467</c:v>
                </c:pt>
                <c:pt idx="3">
                  <c:v>12.637362637362637</c:v>
                </c:pt>
              </c:numCache>
            </c:numRef>
          </c:val>
          <c:extLst>
            <c:ext xmlns:c16="http://schemas.microsoft.com/office/drawing/2014/chart" uri="{C3380CC4-5D6E-409C-BE32-E72D297353CC}">
              <c16:uniqueId val="{00000000-C227-4358-97FC-3F2B30CD5D5C}"/>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40" b="1" i="0" u="none" strike="noStrike" baseline="0">
                <a:effectLst/>
              </a:rPr>
              <a:t>Dimensions of Health </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selection'!$AP$194:$AR$194</c:f>
              <c:strCache>
                <c:ptCount val="3"/>
                <c:pt idx="0">
                  <c:v>Emotional</c:v>
                </c:pt>
                <c:pt idx="1">
                  <c:v>Other</c:v>
                </c:pt>
                <c:pt idx="2">
                  <c:v>Physical </c:v>
                </c:pt>
              </c:strCache>
            </c:strRef>
          </c:cat>
          <c:val>
            <c:numRef>
              <c:f>'All green selection'!$AP$197:$AR$197</c:f>
              <c:numCache>
                <c:formatCode>0.0</c:formatCode>
                <c:ptCount val="3"/>
                <c:pt idx="0">
                  <c:v>7.6923076923076925</c:v>
                </c:pt>
                <c:pt idx="1">
                  <c:v>62.087912087912088</c:v>
                </c:pt>
                <c:pt idx="2">
                  <c:v>38.461538461538467</c:v>
                </c:pt>
              </c:numCache>
            </c:numRef>
          </c:val>
          <c:extLst>
            <c:ext xmlns:c16="http://schemas.microsoft.com/office/drawing/2014/chart" uri="{C3380CC4-5D6E-409C-BE32-E72D297353CC}">
              <c16:uniqueId val="{00000000-22FE-4F32-AD90-359EF39BFCB9}"/>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40" b="1" i="0" u="none" strike="noStrike" baseline="0">
                <a:effectLst/>
              </a:rPr>
              <a:t>Human Health Impacts</a:t>
            </a:r>
            <a:r>
              <a:rPr lang="en-US" sz="1440" b="1" i="0" u="none" strike="noStrike" baseline="0"/>
              <a:t> </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'All green selection'!$AT$194:$AU$194</c:f>
              <c:strCache>
                <c:ptCount val="2"/>
                <c:pt idx="0">
                  <c:v>Yes</c:v>
                </c:pt>
                <c:pt idx="1">
                  <c:v>No</c:v>
                </c:pt>
              </c:strCache>
            </c:strRef>
          </c:cat>
          <c:val>
            <c:numRef>
              <c:f>'All green selection'!$AT$197:$AU$197</c:f>
              <c:numCache>
                <c:formatCode>0.0</c:formatCode>
                <c:ptCount val="2"/>
                <c:pt idx="0">
                  <c:v>93.75</c:v>
                </c:pt>
                <c:pt idx="1">
                  <c:v>6.25</c:v>
                </c:pt>
              </c:numCache>
            </c:numRef>
          </c:val>
          <c:extLst>
            <c:ext xmlns:c16="http://schemas.microsoft.com/office/drawing/2014/chart" uri="{C3380CC4-5D6E-409C-BE32-E72D297353CC}">
              <c16:uniqueId val="{00000000-88F7-476E-953C-F65AEEF97C49}"/>
            </c:ext>
          </c:extLst>
        </c:ser>
        <c:dLbls>
          <c:showLegendKey val="0"/>
          <c:showVal val="0"/>
          <c:showCatName val="0"/>
          <c:showSerName val="0"/>
          <c:showPercent val="0"/>
          <c:showBubbleSize val="0"/>
        </c:dLbls>
        <c:gapWidth val="50"/>
        <c:axId val="1837727935"/>
        <c:axId val="157843359"/>
      </c:barChart>
      <c:catAx>
        <c:axId val="183772793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7843359"/>
        <c:crosses val="autoZero"/>
        <c:auto val="1"/>
        <c:lblAlgn val="ctr"/>
        <c:lblOffset val="100"/>
        <c:noMultiLvlLbl val="0"/>
      </c:catAx>
      <c:valAx>
        <c:axId val="157843359"/>
        <c:scaling>
          <c:orientation val="minMax"/>
          <c:max val="100"/>
        </c:scaling>
        <c:delete val="0"/>
        <c:axPos val="l"/>
        <c:numFmt formatCode="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7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212725</xdr:colOff>
      <xdr:row>202</xdr:row>
      <xdr:rowOff>101600</xdr:rowOff>
    </xdr:from>
    <xdr:to>
      <xdr:col>11</xdr:col>
      <xdr:colOff>133350</xdr:colOff>
      <xdr:row>219</xdr:row>
      <xdr:rowOff>146050</xdr:rowOff>
    </xdr:to>
    <xdr:graphicFrame macro="">
      <xdr:nvGraphicFramePr>
        <xdr:cNvPr id="2" name="Chart 1">
          <a:extLst>
            <a:ext uri="{FF2B5EF4-FFF2-40B4-BE49-F238E27FC236}">
              <a16:creationId xmlns:a16="http://schemas.microsoft.com/office/drawing/2014/main" id="{E017A2CE-CCFD-4EE1-BDC2-B0C09C93A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203</xdr:row>
      <xdr:rowOff>6350</xdr:rowOff>
    </xdr:from>
    <xdr:to>
      <xdr:col>16</xdr:col>
      <xdr:colOff>530225</xdr:colOff>
      <xdr:row>220</xdr:row>
      <xdr:rowOff>50800</xdr:rowOff>
    </xdr:to>
    <xdr:graphicFrame macro="">
      <xdr:nvGraphicFramePr>
        <xdr:cNvPr id="3" name="Chart 2">
          <a:extLst>
            <a:ext uri="{FF2B5EF4-FFF2-40B4-BE49-F238E27FC236}">
              <a16:creationId xmlns:a16="http://schemas.microsoft.com/office/drawing/2014/main" id="{7D2FF650-9D41-470F-9B72-5A146FE9CE85}"/>
            </a:ext>
            <a:ext uri="{147F2762-F138-4A5C-976F-8EAC2B608ADB}">
              <a16:predDERef xmlns:a16="http://schemas.microsoft.com/office/drawing/2014/main" pred="{E017A2CE-CCFD-4EE1-BDC2-B0C09C93A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215900</xdr:colOff>
      <xdr:row>202</xdr:row>
      <xdr:rowOff>152400</xdr:rowOff>
    </xdr:from>
    <xdr:to>
      <xdr:col>22</xdr:col>
      <xdr:colOff>136525</xdr:colOff>
      <xdr:row>220</xdr:row>
      <xdr:rowOff>38100</xdr:rowOff>
    </xdr:to>
    <xdr:graphicFrame macro="">
      <xdr:nvGraphicFramePr>
        <xdr:cNvPr id="4" name="Chart 3">
          <a:extLst>
            <a:ext uri="{FF2B5EF4-FFF2-40B4-BE49-F238E27FC236}">
              <a16:creationId xmlns:a16="http://schemas.microsoft.com/office/drawing/2014/main" id="{CA9AD50E-C10B-4777-A535-647420DE7041}"/>
            </a:ext>
            <a:ext uri="{147F2762-F138-4A5C-976F-8EAC2B608ADB}">
              <a16:predDERef xmlns:a16="http://schemas.microsoft.com/office/drawing/2014/main" pred="{7D2FF650-9D41-470F-9B72-5A146FE9C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292100</xdr:colOff>
      <xdr:row>203</xdr:row>
      <xdr:rowOff>19050</xdr:rowOff>
    </xdr:from>
    <xdr:to>
      <xdr:col>27</xdr:col>
      <xdr:colOff>584200</xdr:colOff>
      <xdr:row>220</xdr:row>
      <xdr:rowOff>63500</xdr:rowOff>
    </xdr:to>
    <xdr:graphicFrame macro="">
      <xdr:nvGraphicFramePr>
        <xdr:cNvPr id="5" name="Chart 4">
          <a:extLst>
            <a:ext uri="{FF2B5EF4-FFF2-40B4-BE49-F238E27FC236}">
              <a16:creationId xmlns:a16="http://schemas.microsoft.com/office/drawing/2014/main" id="{FFD7388D-5487-48C5-964C-52D0EA1CF056}"/>
            </a:ext>
            <a:ext uri="{147F2762-F138-4A5C-976F-8EAC2B608ADB}">
              <a16:predDERef xmlns:a16="http://schemas.microsoft.com/office/drawing/2014/main" pred="{CA9AD50E-C10B-4777-A535-647420DE7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127000</xdr:colOff>
      <xdr:row>203</xdr:row>
      <xdr:rowOff>12700</xdr:rowOff>
    </xdr:from>
    <xdr:to>
      <xdr:col>35</xdr:col>
      <xdr:colOff>19050</xdr:colOff>
      <xdr:row>220</xdr:row>
      <xdr:rowOff>57150</xdr:rowOff>
    </xdr:to>
    <xdr:graphicFrame macro="">
      <xdr:nvGraphicFramePr>
        <xdr:cNvPr id="6" name="Chart 5">
          <a:extLst>
            <a:ext uri="{FF2B5EF4-FFF2-40B4-BE49-F238E27FC236}">
              <a16:creationId xmlns:a16="http://schemas.microsoft.com/office/drawing/2014/main" id="{7A36DE91-B36C-4DED-BED9-B956617BDD8E}"/>
            </a:ext>
            <a:ext uri="{147F2762-F138-4A5C-976F-8EAC2B608ADB}">
              <a16:predDERef xmlns:a16="http://schemas.microsoft.com/office/drawing/2014/main" pred="{FFD7388D-5487-48C5-964C-52D0EA1CF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266700</xdr:colOff>
      <xdr:row>203</xdr:row>
      <xdr:rowOff>31750</xdr:rowOff>
    </xdr:from>
    <xdr:to>
      <xdr:col>42</xdr:col>
      <xdr:colOff>158750</xdr:colOff>
      <xdr:row>220</xdr:row>
      <xdr:rowOff>76200</xdr:rowOff>
    </xdr:to>
    <xdr:graphicFrame macro="">
      <xdr:nvGraphicFramePr>
        <xdr:cNvPr id="7" name="Chart 6">
          <a:extLst>
            <a:ext uri="{FF2B5EF4-FFF2-40B4-BE49-F238E27FC236}">
              <a16:creationId xmlns:a16="http://schemas.microsoft.com/office/drawing/2014/main" id="{47C7A286-0223-45D7-B2F8-B6D960E0B783}"/>
            </a:ext>
            <a:ext uri="{147F2762-F138-4A5C-976F-8EAC2B608ADB}">
              <a16:predDERef xmlns:a16="http://schemas.microsoft.com/office/drawing/2014/main" pred="{7A36DE91-B36C-4DED-BED9-B956617BD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234950</xdr:colOff>
      <xdr:row>203</xdr:row>
      <xdr:rowOff>19050</xdr:rowOff>
    </xdr:from>
    <xdr:to>
      <xdr:col>49</xdr:col>
      <xdr:colOff>127000</xdr:colOff>
      <xdr:row>220</xdr:row>
      <xdr:rowOff>63500</xdr:rowOff>
    </xdr:to>
    <xdr:graphicFrame macro="">
      <xdr:nvGraphicFramePr>
        <xdr:cNvPr id="8" name="Chart 7">
          <a:extLst>
            <a:ext uri="{FF2B5EF4-FFF2-40B4-BE49-F238E27FC236}">
              <a16:creationId xmlns:a16="http://schemas.microsoft.com/office/drawing/2014/main" id="{EAE4E1E0-8F8D-4D2C-86DC-7237E0F277AC}"/>
            </a:ext>
            <a:ext uri="{147F2762-F138-4A5C-976F-8EAC2B608ADB}">
              <a16:predDERef xmlns:a16="http://schemas.microsoft.com/office/drawing/2014/main" pred="{47C7A286-0223-45D7-B2F8-B6D960E0B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0</xdr:colOff>
      <xdr:row>203</xdr:row>
      <xdr:rowOff>0</xdr:rowOff>
    </xdr:from>
    <xdr:to>
      <xdr:col>56</xdr:col>
      <xdr:colOff>501650</xdr:colOff>
      <xdr:row>220</xdr:row>
      <xdr:rowOff>44450</xdr:rowOff>
    </xdr:to>
    <xdr:graphicFrame macro="">
      <xdr:nvGraphicFramePr>
        <xdr:cNvPr id="9" name="Chart 8">
          <a:extLst>
            <a:ext uri="{FF2B5EF4-FFF2-40B4-BE49-F238E27FC236}">
              <a16:creationId xmlns:a16="http://schemas.microsoft.com/office/drawing/2014/main" id="{53796B87-7987-4E05-B4EF-A48FF19AF92C}"/>
            </a:ext>
            <a:ext uri="{147F2762-F138-4A5C-976F-8EAC2B608ADB}">
              <a16:predDERef xmlns:a16="http://schemas.microsoft.com/office/drawing/2014/main" pred="{EAE4E1E0-8F8D-4D2C-86DC-7237E0F2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038/s41467-021-21708-0" TargetMode="External"/><Relationship Id="rId21" Type="http://schemas.openxmlformats.org/officeDocument/2006/relationships/hyperlink" Target="http://dx.doi.org/10.1097/EE9.0000000000000362" TargetMode="External"/><Relationship Id="rId42" Type="http://schemas.openxmlformats.org/officeDocument/2006/relationships/hyperlink" Target="http://dx.doi.org/10.1186/s12940-023-00998-5" TargetMode="External"/><Relationship Id="rId63" Type="http://schemas.openxmlformats.org/officeDocument/2006/relationships/hyperlink" Target="http://dx.doi.org/10.1016/j.puhe.2023.10.032" TargetMode="External"/><Relationship Id="rId84" Type="http://schemas.openxmlformats.org/officeDocument/2006/relationships/hyperlink" Target="http://dx.doi.org/10.1111/ina.13060" TargetMode="External"/><Relationship Id="rId138" Type="http://schemas.openxmlformats.org/officeDocument/2006/relationships/hyperlink" Target="http://dx.doi.org/10.1021/acs.chemrestox.1c00020" TargetMode="External"/><Relationship Id="rId159" Type="http://schemas.openxmlformats.org/officeDocument/2006/relationships/hyperlink" Target="http://dx.doi.org/10.3390/toxics12030201" TargetMode="External"/><Relationship Id="rId170" Type="http://schemas.openxmlformats.org/officeDocument/2006/relationships/hyperlink" Target="http://dx.doi.org/10.1161/CIRCULATIONAHA.121.058058" TargetMode="External"/><Relationship Id="rId107" Type="http://schemas.openxmlformats.org/officeDocument/2006/relationships/hyperlink" Target="http://dx.doi.org/10.1029/2020GH000359" TargetMode="External"/><Relationship Id="rId11" Type="http://schemas.openxmlformats.org/officeDocument/2006/relationships/hyperlink" Target="http://dx.doi.org/10.1021/acs.estlett.3c00923" TargetMode="External"/><Relationship Id="rId32" Type="http://schemas.openxmlformats.org/officeDocument/2006/relationships/hyperlink" Target="http://dx.doi.org/10.1007/s11698-024-00297-0" TargetMode="External"/><Relationship Id="rId53" Type="http://schemas.openxmlformats.org/officeDocument/2006/relationships/hyperlink" Target="http://dx.doi.org/10.1016/j.jhazmat.2023.131779" TargetMode="External"/><Relationship Id="rId74" Type="http://schemas.openxmlformats.org/officeDocument/2006/relationships/hyperlink" Target="http://dx.doi.org/10.1016/j.ypmed.2022.107333" TargetMode="External"/><Relationship Id="rId128" Type="http://schemas.openxmlformats.org/officeDocument/2006/relationships/hyperlink" Target="http://dx.doi.org/10.1097/JOM.0000000000002286" TargetMode="External"/><Relationship Id="rId149" Type="http://schemas.openxmlformats.org/officeDocument/2006/relationships/hyperlink" Target="http://dx.doi.org/10.1038/s43247-024-01813-w" TargetMode="External"/><Relationship Id="rId5" Type="http://schemas.openxmlformats.org/officeDocument/2006/relationships/hyperlink" Target="http://dx.doi.org/10.1021/acs.est.4c10304" TargetMode="External"/><Relationship Id="rId95" Type="http://schemas.openxmlformats.org/officeDocument/2006/relationships/hyperlink" Target="http://dx.doi.org/10.1093/ije/dyab206" TargetMode="External"/><Relationship Id="rId160" Type="http://schemas.openxmlformats.org/officeDocument/2006/relationships/hyperlink" Target="http://dx.doi.org/10.1016/j.jtos.2024.09.001" TargetMode="External"/><Relationship Id="rId181" Type="http://schemas.openxmlformats.org/officeDocument/2006/relationships/hyperlink" Target="http://dx.doi.org/10.1016/j.jenvp.2023.102071" TargetMode="External"/><Relationship Id="rId22" Type="http://schemas.openxmlformats.org/officeDocument/2006/relationships/hyperlink" Target="http://dx.doi.org/10.1038/s43247-025-02100-y" TargetMode="External"/><Relationship Id="rId43" Type="http://schemas.openxmlformats.org/officeDocument/2006/relationships/hyperlink" Target="http://dx.doi.org/10.1164/rccm.202207-1324OC" TargetMode="External"/><Relationship Id="rId64" Type="http://schemas.openxmlformats.org/officeDocument/2006/relationships/hyperlink" Target="http://dx.doi.org/10.1016/S2542-5196(23)00046-3" TargetMode="External"/><Relationship Id="rId118" Type="http://schemas.openxmlformats.org/officeDocument/2006/relationships/hyperlink" Target="http://dx.doi.org/10.1016/j.scitotenv.2021.147507" TargetMode="External"/><Relationship Id="rId139" Type="http://schemas.openxmlformats.org/officeDocument/2006/relationships/hyperlink" Target="http://dx.doi.org/10.1016/j.atmosenv.2021.118210" TargetMode="External"/><Relationship Id="rId85" Type="http://schemas.openxmlformats.org/officeDocument/2006/relationships/hyperlink" Target="http://dx.doi.org/10.1088/2752-5295/ac860e" TargetMode="External"/><Relationship Id="rId150" Type="http://schemas.openxmlformats.org/officeDocument/2006/relationships/hyperlink" Target="http://dx.doi.org/10.1123/jpah.2024-0305" TargetMode="External"/><Relationship Id="rId171" Type="http://schemas.openxmlformats.org/officeDocument/2006/relationships/hyperlink" Target="http://dx.doi.org/10.1186/s12889-021-12411-2" TargetMode="External"/><Relationship Id="rId12" Type="http://schemas.openxmlformats.org/officeDocument/2006/relationships/hyperlink" Target="http://dx.doi.org/10.1007/s10389-024-02343-7" TargetMode="External"/><Relationship Id="rId33" Type="http://schemas.openxmlformats.org/officeDocument/2006/relationships/hyperlink" Target="http://dx.doi.org/10.1016/j.jadohealth.2024.07.026" TargetMode="External"/><Relationship Id="rId108" Type="http://schemas.openxmlformats.org/officeDocument/2006/relationships/hyperlink" Target="http://dx.doi.org/10.3390/ijerph18136987" TargetMode="External"/><Relationship Id="rId129" Type="http://schemas.openxmlformats.org/officeDocument/2006/relationships/hyperlink" Target="http://dx.doi.org/10.1088/1748-9326/ac02ee" TargetMode="External"/><Relationship Id="rId54" Type="http://schemas.openxmlformats.org/officeDocument/2006/relationships/hyperlink" Target="http://dx.doi.org/10.1016/j.envint.2022.107704" TargetMode="External"/><Relationship Id="rId75" Type="http://schemas.openxmlformats.org/officeDocument/2006/relationships/hyperlink" Target="http://dx.doi.org/10.1016/j.ijheh.2021.113901" TargetMode="External"/><Relationship Id="rId96" Type="http://schemas.openxmlformats.org/officeDocument/2006/relationships/hyperlink" Target="http://dx.doi.org/10.1038/s41467-022-35326-x" TargetMode="External"/><Relationship Id="rId140" Type="http://schemas.openxmlformats.org/officeDocument/2006/relationships/hyperlink" Target="http://dx.doi.org/10.1016/j.jbc.2021.101147" TargetMode="External"/><Relationship Id="rId161" Type="http://schemas.openxmlformats.org/officeDocument/2006/relationships/hyperlink" Target="http://dx.doi.org/10.1126/sciadv.adj7264" TargetMode="External"/><Relationship Id="rId182" Type="http://schemas.openxmlformats.org/officeDocument/2006/relationships/hyperlink" Target="http://dx.doi.org/10.1111/resp.14593" TargetMode="External"/><Relationship Id="rId6" Type="http://schemas.openxmlformats.org/officeDocument/2006/relationships/hyperlink" Target="http://dx.doi.org/10.1016/j.scitotenv.2024.174197" TargetMode="External"/><Relationship Id="rId23" Type="http://schemas.openxmlformats.org/officeDocument/2006/relationships/hyperlink" Target="http://dx.doi.org/10.1093/aje/kwae261" TargetMode="External"/><Relationship Id="rId119" Type="http://schemas.openxmlformats.org/officeDocument/2006/relationships/hyperlink" Target="http://dx.doi.org/10.1097/EE9.0000000000000124" TargetMode="External"/><Relationship Id="rId44" Type="http://schemas.openxmlformats.org/officeDocument/2006/relationships/hyperlink" Target="http://dx.doi.org/10.1029/2023GH000860" TargetMode="External"/><Relationship Id="rId60" Type="http://schemas.openxmlformats.org/officeDocument/2006/relationships/hyperlink" Target="http://dx.doi.org/10.1029/2023GH000884" TargetMode="External"/><Relationship Id="rId65" Type="http://schemas.openxmlformats.org/officeDocument/2006/relationships/hyperlink" Target="http://dx.doi.org/10.1016/S2542-5196(23)00235-8" TargetMode="External"/><Relationship Id="rId81" Type="http://schemas.openxmlformats.org/officeDocument/2006/relationships/hyperlink" Target="http://dx.doi.org/10.3389/fped.2022.891616" TargetMode="External"/><Relationship Id="rId86" Type="http://schemas.openxmlformats.org/officeDocument/2006/relationships/hyperlink" Target="http://dx.doi.org/10.1016/j.scitotenv.2021.151158" TargetMode="External"/><Relationship Id="rId130" Type="http://schemas.openxmlformats.org/officeDocument/2006/relationships/hyperlink" Target="http://dx.doi.org/10.1038/s41370-021-00366-w" TargetMode="External"/><Relationship Id="rId135" Type="http://schemas.openxmlformats.org/officeDocument/2006/relationships/hyperlink" Target="http://dx.doi.org/10.1016/j.envpol.2021.116498" TargetMode="External"/><Relationship Id="rId151" Type="http://schemas.openxmlformats.org/officeDocument/2006/relationships/hyperlink" Target="http://dx.doi.org/10.1088/1748-9326/ad1b7d" TargetMode="External"/><Relationship Id="rId156" Type="http://schemas.openxmlformats.org/officeDocument/2006/relationships/hyperlink" Target="http://dx.doi.org/10.3390/ijms251910288" TargetMode="External"/><Relationship Id="rId177" Type="http://schemas.openxmlformats.org/officeDocument/2006/relationships/hyperlink" Target="http://dx.doi.org/10.1016/j.apgeog.2023.103033" TargetMode="External"/><Relationship Id="rId172" Type="http://schemas.openxmlformats.org/officeDocument/2006/relationships/hyperlink" Target="http://dx.doi.org/10.1016/j.envres.2024.120395" TargetMode="External"/><Relationship Id="rId13" Type="http://schemas.openxmlformats.org/officeDocument/2006/relationships/hyperlink" Target="http://dx.doi.org/10.3390/fire8030097" TargetMode="External"/><Relationship Id="rId18" Type="http://schemas.openxmlformats.org/officeDocument/2006/relationships/hyperlink" Target="http://dx.doi.org/10.1016/j.envpol.2025.125887" TargetMode="External"/><Relationship Id="rId39" Type="http://schemas.openxmlformats.org/officeDocument/2006/relationships/hyperlink" Target="http://dx.doi.org/10.1073/pnas.2403960121" TargetMode="External"/><Relationship Id="rId109" Type="http://schemas.openxmlformats.org/officeDocument/2006/relationships/hyperlink" Target="http://dx.doi.org/10.1016/j.envres.2021.111159" TargetMode="External"/><Relationship Id="rId34" Type="http://schemas.openxmlformats.org/officeDocument/2006/relationships/hyperlink" Target="http://dx.doi.org/10.1016/j.scitotenv.2023.169683" TargetMode="External"/><Relationship Id="rId50" Type="http://schemas.openxmlformats.org/officeDocument/2006/relationships/hyperlink" Target="http://dx.doi.org/10.1073/pnas.2221621120" TargetMode="External"/><Relationship Id="rId55" Type="http://schemas.openxmlformats.org/officeDocument/2006/relationships/hyperlink" Target="http://dx.doi.org/10.1073/pnas.2309325120" TargetMode="External"/><Relationship Id="rId76" Type="http://schemas.openxmlformats.org/officeDocument/2006/relationships/hyperlink" Target="http://dx.doi.org/10.1029/2021GH000526" TargetMode="External"/><Relationship Id="rId97" Type="http://schemas.openxmlformats.org/officeDocument/2006/relationships/hyperlink" Target="http://dx.doi.org/10.1016/j.joclim.2022.100113" TargetMode="External"/><Relationship Id="rId104" Type="http://schemas.openxmlformats.org/officeDocument/2006/relationships/hyperlink" Target="http://dx.doi.org/10.1093/ije/dyab100" TargetMode="External"/><Relationship Id="rId120" Type="http://schemas.openxmlformats.org/officeDocument/2006/relationships/hyperlink" Target="http://dx.doi.org/10.3390/ijerph182211787" TargetMode="External"/><Relationship Id="rId125" Type="http://schemas.openxmlformats.org/officeDocument/2006/relationships/hyperlink" Target="http://dx.doi.org/10.1136/bmjopen-2020-037029" TargetMode="External"/><Relationship Id="rId141" Type="http://schemas.openxmlformats.org/officeDocument/2006/relationships/hyperlink" Target="http://dx.doi.org/10.1029/2024GH001037" TargetMode="External"/><Relationship Id="rId146" Type="http://schemas.openxmlformats.org/officeDocument/2006/relationships/hyperlink" Target="http://dx.doi.org/10.1001/jamanetworkopen.2024.44593" TargetMode="External"/><Relationship Id="rId167" Type="http://schemas.openxmlformats.org/officeDocument/2006/relationships/hyperlink" Target="http://dx.doi.org/10.1016/j.gr.2022.04.016" TargetMode="External"/><Relationship Id="rId7" Type="http://schemas.openxmlformats.org/officeDocument/2006/relationships/hyperlink" Target="http://dx.doi.org/10.1016/j.ecoenv.2024.117023" TargetMode="External"/><Relationship Id="rId71" Type="http://schemas.openxmlformats.org/officeDocument/2006/relationships/hyperlink" Target="http://dx.doi.org/10.1016/j.jenvman.2022.117154" TargetMode="External"/><Relationship Id="rId92" Type="http://schemas.openxmlformats.org/officeDocument/2006/relationships/hyperlink" Target="http://dx.doi.org/10.1097/ALN.0000000000004344" TargetMode="External"/><Relationship Id="rId162" Type="http://schemas.openxmlformats.org/officeDocument/2006/relationships/hyperlink" Target="http://dx.doi.org/10.1016/S2542-5196(24)00117-7" TargetMode="External"/><Relationship Id="rId183" Type="http://schemas.openxmlformats.org/officeDocument/2006/relationships/drawing" Target="../drawings/drawing1.xml"/><Relationship Id="rId2" Type="http://schemas.openxmlformats.org/officeDocument/2006/relationships/hyperlink" Target="http://dx.doi.org/10.1186/s42408-023-00234-y" TargetMode="External"/><Relationship Id="rId29" Type="http://schemas.openxmlformats.org/officeDocument/2006/relationships/hyperlink" Target="http://dx.doi.org/10.3390/atmos15101172" TargetMode="External"/><Relationship Id="rId24" Type="http://schemas.openxmlformats.org/officeDocument/2006/relationships/hyperlink" Target="http://dx.doi.org/10.1016/j.joclim.2024.100328" TargetMode="External"/><Relationship Id="rId40" Type="http://schemas.openxmlformats.org/officeDocument/2006/relationships/hyperlink" Target="http://dx.doi.org/10.1038/s41467-024-54095-3" TargetMode="External"/><Relationship Id="rId45" Type="http://schemas.openxmlformats.org/officeDocument/2006/relationships/hyperlink" Target="http://dx.doi.org/10.1016/j.scitotenv.2023.162614" TargetMode="External"/><Relationship Id="rId66" Type="http://schemas.openxmlformats.org/officeDocument/2006/relationships/hyperlink" Target="http://dx.doi.org/10.1164/rccm.202203-0457OC" TargetMode="External"/><Relationship Id="rId87" Type="http://schemas.openxmlformats.org/officeDocument/2006/relationships/hyperlink" Target="http://dx.doi.org/10.3390/ijerph19095057" TargetMode="External"/><Relationship Id="rId110" Type="http://schemas.openxmlformats.org/officeDocument/2006/relationships/hyperlink" Target="http://dx.doi.org/10.1029/2021GH000414" TargetMode="External"/><Relationship Id="rId115" Type="http://schemas.openxmlformats.org/officeDocument/2006/relationships/hyperlink" Target="http://dx.doi.org/10.1029/2020GH000349" TargetMode="External"/><Relationship Id="rId131" Type="http://schemas.openxmlformats.org/officeDocument/2006/relationships/hyperlink" Target="http://dx.doi.org/10.1029/2021GH000457" TargetMode="External"/><Relationship Id="rId136" Type="http://schemas.openxmlformats.org/officeDocument/2006/relationships/hyperlink" Target="http://dx.doi.org/10.3390/ijerph18031131" TargetMode="External"/><Relationship Id="rId157" Type="http://schemas.openxmlformats.org/officeDocument/2006/relationships/hyperlink" Target="http://dx.doi.org/10.1016/j.envpol.2024.125022" TargetMode="External"/><Relationship Id="rId178" Type="http://schemas.openxmlformats.org/officeDocument/2006/relationships/hyperlink" Target="http://dx.doi.org/10.3390/atmos14101491" TargetMode="External"/><Relationship Id="rId61" Type="http://schemas.openxmlformats.org/officeDocument/2006/relationships/hyperlink" Target="http://dx.doi.org/10.24075/vrgmu.2023.028" TargetMode="External"/><Relationship Id="rId82" Type="http://schemas.openxmlformats.org/officeDocument/2006/relationships/hyperlink" Target="http://dx.doi.org/10.1016/j.lana.2022.100229" TargetMode="External"/><Relationship Id="rId152" Type="http://schemas.openxmlformats.org/officeDocument/2006/relationships/hyperlink" Target="http://dx.doi.org/10.1016/j.envint.2024.108583" TargetMode="External"/><Relationship Id="rId173" Type="http://schemas.openxmlformats.org/officeDocument/2006/relationships/hyperlink" Target="http://dx.doi.org/10.1002/em.70002" TargetMode="External"/><Relationship Id="rId19" Type="http://schemas.openxmlformats.org/officeDocument/2006/relationships/hyperlink" Target="http://dx.doi.org/10.1002/ohn.1191" TargetMode="External"/><Relationship Id="rId14" Type="http://schemas.openxmlformats.org/officeDocument/2006/relationships/hyperlink" Target="http://dx.doi.org/10.1016/j.envres.2024.119094" TargetMode="External"/><Relationship Id="rId30" Type="http://schemas.openxmlformats.org/officeDocument/2006/relationships/hyperlink" Target="http://dx.doi.org/10.14814/phy2.16120" TargetMode="External"/><Relationship Id="rId35" Type="http://schemas.openxmlformats.org/officeDocument/2006/relationships/hyperlink" Target="http://dx.doi.org/10.1016/j.jhazmat.2024.136290" TargetMode="External"/><Relationship Id="rId56" Type="http://schemas.openxmlformats.org/officeDocument/2006/relationships/hyperlink" Target="http://dx.doi.org/10.4178/epih.e2023003" TargetMode="External"/><Relationship Id="rId77" Type="http://schemas.openxmlformats.org/officeDocument/2006/relationships/hyperlink" Target="http://dx.doi.org/10.1088/1748-9326/ac4538" TargetMode="External"/><Relationship Id="rId100" Type="http://schemas.openxmlformats.org/officeDocument/2006/relationships/hyperlink" Target="http://dx.doi.org/10.1289/EHP10498" TargetMode="External"/><Relationship Id="rId105" Type="http://schemas.openxmlformats.org/officeDocument/2006/relationships/hyperlink" Target="http://dx.doi.org/10.1016/j.scitotenv.2021.152226" TargetMode="External"/><Relationship Id="rId126" Type="http://schemas.openxmlformats.org/officeDocument/2006/relationships/hyperlink" Target="http://dx.doi.org/10.3389/fpubh.2021.682402" TargetMode="External"/><Relationship Id="rId147" Type="http://schemas.openxmlformats.org/officeDocument/2006/relationships/hyperlink" Target="http://dx.doi.org/10.1016/j.scitotenv.2023.168364" TargetMode="External"/><Relationship Id="rId168" Type="http://schemas.openxmlformats.org/officeDocument/2006/relationships/hyperlink" Target="http://dx.doi.org/10.1016/j.joclim.2023.100219" TargetMode="External"/><Relationship Id="rId8" Type="http://schemas.openxmlformats.org/officeDocument/2006/relationships/hyperlink" Target="http://dx.doi.org/10.15326/jcopdf.2024.0509" TargetMode="External"/><Relationship Id="rId51" Type="http://schemas.openxmlformats.org/officeDocument/2006/relationships/hyperlink" Target="http://dx.doi.org/10.1016/j.envres.2023.117154" TargetMode="External"/><Relationship Id="rId72" Type="http://schemas.openxmlformats.org/officeDocument/2006/relationships/hyperlink" Target="http://dx.doi.org/10.3349/ymj.2022.63.8.774" TargetMode="External"/><Relationship Id="rId93" Type="http://schemas.openxmlformats.org/officeDocument/2006/relationships/hyperlink" Target="http://dx.doi.org/10.1002/hsr2.820" TargetMode="External"/><Relationship Id="rId98" Type="http://schemas.openxmlformats.org/officeDocument/2006/relationships/hyperlink" Target="http://dx.doi.org/10.3390/ijerph19010593" TargetMode="External"/><Relationship Id="rId121" Type="http://schemas.openxmlformats.org/officeDocument/2006/relationships/hyperlink" Target="http://dx.doi.org/10.1001/jamadermatol.2021.0179" TargetMode="External"/><Relationship Id="rId142" Type="http://schemas.openxmlformats.org/officeDocument/2006/relationships/hyperlink" Target="http://dx.doi.org/10.1016/j.scitotenv.2024.171356" TargetMode="External"/><Relationship Id="rId163" Type="http://schemas.openxmlformats.org/officeDocument/2006/relationships/hyperlink" Target="http://dx.doi.org/10.1001/jamanetworkopen.2024.50759" TargetMode="External"/><Relationship Id="rId3" Type="http://schemas.openxmlformats.org/officeDocument/2006/relationships/hyperlink" Target="http://dx.doi.org/10.1029/2023GH000997" TargetMode="External"/><Relationship Id="rId25" Type="http://schemas.openxmlformats.org/officeDocument/2006/relationships/hyperlink" Target="http://dx.doi.org/10.1007/s00267-025-02119-z" TargetMode="External"/><Relationship Id="rId46" Type="http://schemas.openxmlformats.org/officeDocument/2006/relationships/hyperlink" Target="http://dx.doi.org/10.1016/j.lana.2023.100482" TargetMode="External"/><Relationship Id="rId67" Type="http://schemas.openxmlformats.org/officeDocument/2006/relationships/hyperlink" Target="http://dx.doi.org/10.1186/s12940-023-01032-4" TargetMode="External"/><Relationship Id="rId116" Type="http://schemas.openxmlformats.org/officeDocument/2006/relationships/hyperlink" Target="http://dx.doi.org/10.3390/atmos12121542" TargetMode="External"/><Relationship Id="rId137" Type="http://schemas.openxmlformats.org/officeDocument/2006/relationships/hyperlink" Target="http://dx.doi.org/10.1016/j.envres.2020.110402" TargetMode="External"/><Relationship Id="rId158" Type="http://schemas.openxmlformats.org/officeDocument/2006/relationships/hyperlink" Target="http://dx.doi.org/10.1016/j.scitotenv.2024.171801" TargetMode="External"/><Relationship Id="rId20" Type="http://schemas.openxmlformats.org/officeDocument/2006/relationships/hyperlink" Target="http://dx.doi.org/10.1021/acs.est.4c08675" TargetMode="External"/><Relationship Id="rId41" Type="http://schemas.openxmlformats.org/officeDocument/2006/relationships/hyperlink" Target="http://dx.doi.org/10.1016/j.envpol.2024.125173" TargetMode="External"/><Relationship Id="rId62" Type="http://schemas.openxmlformats.org/officeDocument/2006/relationships/hyperlink" Target="http://dx.doi.org/10.1001/jamaoncol.2023.2144" TargetMode="External"/><Relationship Id="rId83" Type="http://schemas.openxmlformats.org/officeDocument/2006/relationships/hyperlink" Target="http://dx.doi.org/10.1111/phn.12986" TargetMode="External"/><Relationship Id="rId88" Type="http://schemas.openxmlformats.org/officeDocument/2006/relationships/hyperlink" Target="http://dx.doi.org/10.3390/ijerph19148492" TargetMode="External"/><Relationship Id="rId111" Type="http://schemas.openxmlformats.org/officeDocument/2006/relationships/hyperlink" Target="http://dx.doi.org/10.3390/ijerph18073538" TargetMode="External"/><Relationship Id="rId132" Type="http://schemas.openxmlformats.org/officeDocument/2006/relationships/hyperlink" Target="http://dx.doi.org/10.1029/2021GH000454" TargetMode="External"/><Relationship Id="rId153" Type="http://schemas.openxmlformats.org/officeDocument/2006/relationships/hyperlink" Target="http://dx.doi.org/10.1186/s12940-024-01082-2" TargetMode="External"/><Relationship Id="rId174" Type="http://schemas.openxmlformats.org/officeDocument/2006/relationships/hyperlink" Target="http://dx.doi.org/10.1016/S2542-5196(24)00239-0" TargetMode="External"/><Relationship Id="rId179" Type="http://schemas.openxmlformats.org/officeDocument/2006/relationships/hyperlink" Target="http://dx.doi.org/10.1186/s12889-023-15957-5" TargetMode="External"/><Relationship Id="rId15" Type="http://schemas.openxmlformats.org/officeDocument/2006/relationships/hyperlink" Target="http://dx.doi.org/10.1016/j.jhazmat.2024.136486" TargetMode="External"/><Relationship Id="rId36" Type="http://schemas.openxmlformats.org/officeDocument/2006/relationships/hyperlink" Target="http://dx.doi.org/10.3390/fire7080277" TargetMode="External"/><Relationship Id="rId57" Type="http://schemas.openxmlformats.org/officeDocument/2006/relationships/hyperlink" Target="http://dx.doi.org/10.1016/j.envint.2023.107879" TargetMode="External"/><Relationship Id="rId106" Type="http://schemas.openxmlformats.org/officeDocument/2006/relationships/hyperlink" Target="http://dx.doi.org/10.1152/ajplung.00362.2021" TargetMode="External"/><Relationship Id="rId127" Type="http://schemas.openxmlformats.org/officeDocument/2006/relationships/hyperlink" Target="http://dx.doi.org/10.5194/nhess-21-2867-2021" TargetMode="External"/><Relationship Id="rId10" Type="http://schemas.openxmlformats.org/officeDocument/2006/relationships/hyperlink" Target="http://dx.doi.org/10.1161/JAHA.124.036264" TargetMode="External"/><Relationship Id="rId31" Type="http://schemas.openxmlformats.org/officeDocument/2006/relationships/hyperlink" Target="http://dx.doi.org/10.1164/rccm.202307-1205OC" TargetMode="External"/><Relationship Id="rId52" Type="http://schemas.openxmlformats.org/officeDocument/2006/relationships/hyperlink" Target="http://dx.doi.org/10.1371/journal.pgph.0001886" TargetMode="External"/><Relationship Id="rId73" Type="http://schemas.openxmlformats.org/officeDocument/2006/relationships/hyperlink" Target="http://dx.doi.org/10.3390/atmos13010058" TargetMode="External"/><Relationship Id="rId78" Type="http://schemas.openxmlformats.org/officeDocument/2006/relationships/hyperlink" Target="http://dx.doi.org/10.3390/ijerph19031241" TargetMode="External"/><Relationship Id="rId94" Type="http://schemas.openxmlformats.org/officeDocument/2006/relationships/hyperlink" Target="http://dx.doi.org/10.1371/journal.pmed.1004103" TargetMode="External"/><Relationship Id="rId99" Type="http://schemas.openxmlformats.org/officeDocument/2006/relationships/hyperlink" Target="http://dx.doi.org/10.3390/ijerph19127419" TargetMode="External"/><Relationship Id="rId101" Type="http://schemas.openxmlformats.org/officeDocument/2006/relationships/hyperlink" Target="http://dx.doi.org/10.1016/j.envres.2022.113738" TargetMode="External"/><Relationship Id="rId122" Type="http://schemas.openxmlformats.org/officeDocument/2006/relationships/hyperlink" Target="http://dx.doi.org/10.1016/S2542-5196(21)00200-X" TargetMode="External"/><Relationship Id="rId143" Type="http://schemas.openxmlformats.org/officeDocument/2006/relationships/hyperlink" Target="http://dx.doi.org/10.1007/s13555-023-01080-1" TargetMode="External"/><Relationship Id="rId148" Type="http://schemas.openxmlformats.org/officeDocument/2006/relationships/hyperlink" Target="http://dx.doi.org/10.1038/s41598-024-58721-4" TargetMode="External"/><Relationship Id="rId164" Type="http://schemas.openxmlformats.org/officeDocument/2006/relationships/hyperlink" Target="http://dx.doi.org/10.1016/j.fertnstert.2023.12.026" TargetMode="External"/><Relationship Id="rId169" Type="http://schemas.openxmlformats.org/officeDocument/2006/relationships/hyperlink" Target="http://dx.doi.org/10.1016/j.envint.2023.108045" TargetMode="External"/><Relationship Id="rId4" Type="http://schemas.openxmlformats.org/officeDocument/2006/relationships/hyperlink" Target="http://dx.doi.org/10.1021/acs.est.4c05922" TargetMode="External"/><Relationship Id="rId9" Type="http://schemas.openxmlformats.org/officeDocument/2006/relationships/hyperlink" Target="http://dx.doi.org/10.1038/s43247-024-01361-3" TargetMode="External"/><Relationship Id="rId180" Type="http://schemas.openxmlformats.org/officeDocument/2006/relationships/hyperlink" Target="http://dx.doi.org/10.1093/fampra/cmac133" TargetMode="External"/><Relationship Id="rId26" Type="http://schemas.openxmlformats.org/officeDocument/2006/relationships/hyperlink" Target="http://dx.doi.org/10.1061/JMENEA.MEENG-6340" TargetMode="External"/><Relationship Id="rId47" Type="http://schemas.openxmlformats.org/officeDocument/2006/relationships/hyperlink" Target="http://dx.doi.org/10.1093/annweh/wxad046" TargetMode="External"/><Relationship Id="rId68" Type="http://schemas.openxmlformats.org/officeDocument/2006/relationships/hyperlink" Target="http://dx.doi.org/10.1016/j.envint.2022.107684" TargetMode="External"/><Relationship Id="rId89" Type="http://schemas.openxmlformats.org/officeDocument/2006/relationships/hyperlink" Target="http://dx.doi.org/10.1016/j.envres.2021.111872" TargetMode="External"/><Relationship Id="rId112" Type="http://schemas.openxmlformats.org/officeDocument/2006/relationships/hyperlink" Target="http://dx.doi.org/10.3389/fpubh.2021.499309" TargetMode="External"/><Relationship Id="rId133" Type="http://schemas.openxmlformats.org/officeDocument/2006/relationships/hyperlink" Target="http://dx.doi.org/10.3390/ijerph18126223" TargetMode="External"/><Relationship Id="rId154" Type="http://schemas.openxmlformats.org/officeDocument/2006/relationships/hyperlink" Target="http://dx.doi.org/10.1126/sciadv.adl1252" TargetMode="External"/><Relationship Id="rId175" Type="http://schemas.openxmlformats.org/officeDocument/2006/relationships/hyperlink" Target="http://dx.doi.org/10.3390/toxics12060422" TargetMode="External"/><Relationship Id="rId16" Type="http://schemas.openxmlformats.org/officeDocument/2006/relationships/hyperlink" Target="http://dx.doi.org/10.1021/acs.estlett.4c00785" TargetMode="External"/><Relationship Id="rId37" Type="http://schemas.openxmlformats.org/officeDocument/2006/relationships/hyperlink" Target="http://dx.doi.org/10.1029/2023EF003778" TargetMode="External"/><Relationship Id="rId58" Type="http://schemas.openxmlformats.org/officeDocument/2006/relationships/hyperlink" Target="http://dx.doi.org/10.1111/head.14442" TargetMode="External"/><Relationship Id="rId79" Type="http://schemas.openxmlformats.org/officeDocument/2006/relationships/hyperlink" Target="http://dx.doi.org/10.1029/2021GH000578" TargetMode="External"/><Relationship Id="rId102" Type="http://schemas.openxmlformats.org/officeDocument/2006/relationships/hyperlink" Target="http://dx.doi.org/10.1016/j.chemosphere.2021.131808" TargetMode="External"/><Relationship Id="rId123" Type="http://schemas.openxmlformats.org/officeDocument/2006/relationships/hyperlink" Target="http://dx.doi.org/10.1029/2020GH000330" TargetMode="External"/><Relationship Id="rId144" Type="http://schemas.openxmlformats.org/officeDocument/2006/relationships/hyperlink" Target="http://dx.doi.org/10.1134/S1875372824700574" TargetMode="External"/><Relationship Id="rId90" Type="http://schemas.openxmlformats.org/officeDocument/2006/relationships/hyperlink" Target="http://dx.doi.org/10.1029/2021GH000546" TargetMode="External"/><Relationship Id="rId165" Type="http://schemas.openxmlformats.org/officeDocument/2006/relationships/hyperlink" Target="http://dx.doi.org/10.1001/jamanetworkopen.2024.50759" TargetMode="External"/><Relationship Id="rId27" Type="http://schemas.openxmlformats.org/officeDocument/2006/relationships/hyperlink" Target="http://dx.doi.org/10.1039/d4ea00124a" TargetMode="External"/><Relationship Id="rId48" Type="http://schemas.openxmlformats.org/officeDocument/2006/relationships/hyperlink" Target="http://dx.doi.org/10.1016/j.emcon.2022.100201" TargetMode="External"/><Relationship Id="rId69" Type="http://schemas.openxmlformats.org/officeDocument/2006/relationships/hyperlink" Target="http://dx.doi.org/10.1016/j.joclim.2023.100255" TargetMode="External"/><Relationship Id="rId113" Type="http://schemas.openxmlformats.org/officeDocument/2006/relationships/hyperlink" Target="http://dx.doi.org/10.1088/1748-9326/abe82b" TargetMode="External"/><Relationship Id="rId134" Type="http://schemas.openxmlformats.org/officeDocument/2006/relationships/hyperlink" Target="http://dx.doi.org/10.1016/j.envint.2020.106214" TargetMode="External"/><Relationship Id="rId80" Type="http://schemas.openxmlformats.org/officeDocument/2006/relationships/hyperlink" Target="http://dx.doi.org/10.1088/1748-9326/ac4138" TargetMode="External"/><Relationship Id="rId155" Type="http://schemas.openxmlformats.org/officeDocument/2006/relationships/hyperlink" Target="http://dx.doi.org/10.1093/annweh/wxae089" TargetMode="External"/><Relationship Id="rId176" Type="http://schemas.openxmlformats.org/officeDocument/2006/relationships/hyperlink" Target="http://dx.doi.org/10.1073/pnas.2302409120" TargetMode="External"/><Relationship Id="rId17" Type="http://schemas.openxmlformats.org/officeDocument/2006/relationships/hyperlink" Target="http://dx.doi.org/10.1016/j.neuro.2025.03.005" TargetMode="External"/><Relationship Id="rId38" Type="http://schemas.openxmlformats.org/officeDocument/2006/relationships/hyperlink" Target="http://dx.doi.org/10.1038/s44220-024-00210-8" TargetMode="External"/><Relationship Id="rId59" Type="http://schemas.openxmlformats.org/officeDocument/2006/relationships/hyperlink" Target="http://dx.doi.org/10.1016/j.jenvman.2022.116918" TargetMode="External"/><Relationship Id="rId103" Type="http://schemas.openxmlformats.org/officeDocument/2006/relationships/hyperlink" Target="http://dx.doi.org/10.1038/s41598-022-23388-2" TargetMode="External"/><Relationship Id="rId124" Type="http://schemas.openxmlformats.org/officeDocument/2006/relationships/hyperlink" Target="http://dx.doi.org/10.1126/sciadv.abi8789" TargetMode="External"/><Relationship Id="rId70" Type="http://schemas.openxmlformats.org/officeDocument/2006/relationships/hyperlink" Target="http://dx.doi.org/10.3390/fire6040159" TargetMode="External"/><Relationship Id="rId91" Type="http://schemas.openxmlformats.org/officeDocument/2006/relationships/hyperlink" Target="http://dx.doi.org/10.1093/annweh/wxab117" TargetMode="External"/><Relationship Id="rId145" Type="http://schemas.openxmlformats.org/officeDocument/2006/relationships/hyperlink" Target="http://dx.doi.org/10.3390/healthcare12040428" TargetMode="External"/><Relationship Id="rId166" Type="http://schemas.openxmlformats.org/officeDocument/2006/relationships/hyperlink" Target="http://dx.doi.org/10.1161/JAHA.124.036264" TargetMode="External"/><Relationship Id="rId1" Type="http://schemas.openxmlformats.org/officeDocument/2006/relationships/hyperlink" Target="http://dx.doi.org/10.1111/jcap.70002" TargetMode="External"/><Relationship Id="rId28" Type="http://schemas.openxmlformats.org/officeDocument/2006/relationships/hyperlink" Target="http://dx.doi.org/10.1021/acs.est.4c06187" TargetMode="External"/><Relationship Id="rId49" Type="http://schemas.openxmlformats.org/officeDocument/2006/relationships/hyperlink" Target="http://dx.doi.org/10.3390/biom13010155" TargetMode="External"/><Relationship Id="rId114" Type="http://schemas.openxmlformats.org/officeDocument/2006/relationships/hyperlink" Target="http://dx.doi.org/10.1029/2021GH0003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DF62-1F76-4156-ACBB-330A79A0E31F}">
  <dimension ref="A1:EY198"/>
  <sheetViews>
    <sheetView tabSelected="1" zoomScaleNormal="100" workbookViewId="0">
      <pane ySplit="1" topLeftCell="A2" activePane="bottomLeft" state="frozen"/>
      <selection pane="bottomLeft" activeCell="D5" sqref="D5"/>
    </sheetView>
  </sheetViews>
  <sheetFormatPr defaultColWidth="8.81640625" defaultRowHeight="12.5"/>
  <cols>
    <col min="6" max="6" width="13.90625" bestFit="1" customWidth="1"/>
    <col min="9" max="9" width="79.453125" customWidth="1"/>
  </cols>
  <sheetData>
    <row r="1" spans="1:155" s="9" customFormat="1">
      <c r="H1" s="59"/>
      <c r="I1" s="59"/>
      <c r="J1" s="60" t="s">
        <v>0</v>
      </c>
      <c r="K1" s="7" t="s">
        <v>1</v>
      </c>
      <c r="L1" s="60" t="s">
        <v>2</v>
      </c>
      <c r="M1" s="7" t="s">
        <v>3</v>
      </c>
      <c r="N1" s="60" t="s">
        <v>4</v>
      </c>
      <c r="O1" s="7" t="s">
        <v>5</v>
      </c>
      <c r="P1" s="7" t="s">
        <v>6</v>
      </c>
      <c r="Q1" s="60" t="s">
        <v>7</v>
      </c>
      <c r="R1" s="7" t="s">
        <v>8</v>
      </c>
      <c r="S1" s="61" t="s">
        <v>9</v>
      </c>
      <c r="T1" s="7" t="s">
        <v>10</v>
      </c>
      <c r="U1" s="7" t="s">
        <v>11</v>
      </c>
      <c r="V1" s="7" t="s">
        <v>12</v>
      </c>
      <c r="W1" s="7" t="s">
        <v>13</v>
      </c>
      <c r="X1" s="7" t="s">
        <v>14</v>
      </c>
      <c r="Y1" s="7" t="s">
        <v>15</v>
      </c>
      <c r="Z1" s="7" t="s">
        <v>16</v>
      </c>
      <c r="AA1" s="7" t="s">
        <v>17</v>
      </c>
      <c r="AB1" s="7" t="s">
        <v>18</v>
      </c>
      <c r="AC1" s="7" t="s">
        <v>19</v>
      </c>
      <c r="AD1" s="61" t="s">
        <v>20</v>
      </c>
      <c r="AE1" s="62" t="s">
        <v>1092</v>
      </c>
      <c r="AF1" s="62" t="s">
        <v>22</v>
      </c>
      <c r="AG1" s="62" t="s">
        <v>23</v>
      </c>
      <c r="AH1" s="62" t="s">
        <v>24</v>
      </c>
      <c r="AI1" s="61" t="s">
        <v>25</v>
      </c>
      <c r="AJ1" s="62" t="s">
        <v>26</v>
      </c>
      <c r="AK1" s="62" t="s">
        <v>6</v>
      </c>
      <c r="AL1" s="61" t="s">
        <v>27</v>
      </c>
      <c r="AM1" s="11" t="s">
        <v>28</v>
      </c>
      <c r="AN1" s="11" t="s">
        <v>29</v>
      </c>
      <c r="AO1" s="11" t="s">
        <v>30</v>
      </c>
      <c r="AP1" s="11" t="s">
        <v>31</v>
      </c>
      <c r="AQ1" s="11" t="s">
        <v>32</v>
      </c>
    </row>
    <row r="2" spans="1:155" s="9" customFormat="1" ht="12.75" customHeight="1">
      <c r="A2" s="10" t="s">
        <v>33</v>
      </c>
      <c r="B2" s="10" t="s">
        <v>34</v>
      </c>
      <c r="C2" s="8" t="s">
        <v>35</v>
      </c>
      <c r="D2" s="10" t="s">
        <v>36</v>
      </c>
      <c r="E2" s="10" t="s">
        <v>37</v>
      </c>
      <c r="F2" s="10" t="s">
        <v>38</v>
      </c>
      <c r="G2" s="10" t="s">
        <v>39</v>
      </c>
      <c r="H2" s="8" t="s">
        <v>40</v>
      </c>
      <c r="I2" s="8" t="s">
        <v>41</v>
      </c>
      <c r="J2" s="63" t="s">
        <v>42</v>
      </c>
      <c r="K2" s="64"/>
      <c r="L2" s="63" t="s">
        <v>43</v>
      </c>
      <c r="M2" s="64"/>
      <c r="N2" s="63" t="s">
        <v>44</v>
      </c>
      <c r="O2" s="64"/>
      <c r="P2" s="65"/>
      <c r="Q2" s="65" t="s">
        <v>45</v>
      </c>
      <c r="R2" s="66"/>
      <c r="S2" s="63"/>
      <c r="T2" s="66" t="s">
        <v>46</v>
      </c>
      <c r="U2" s="66"/>
      <c r="V2" s="66"/>
      <c r="W2" s="66"/>
      <c r="X2" s="66"/>
      <c r="Y2" s="66"/>
      <c r="Z2" s="66"/>
      <c r="AA2" s="66"/>
      <c r="AB2" s="66"/>
      <c r="AC2" s="66"/>
      <c r="AD2" s="66"/>
      <c r="AE2" s="67"/>
      <c r="AF2" s="63" t="s">
        <v>47</v>
      </c>
      <c r="AG2" s="64"/>
      <c r="AH2" s="64"/>
      <c r="AI2" s="64"/>
      <c r="AJ2" s="68" t="s">
        <v>48</v>
      </c>
      <c r="AK2" s="69"/>
      <c r="AL2" s="70"/>
      <c r="AM2" s="71" t="s">
        <v>49</v>
      </c>
      <c r="AN2" s="72"/>
      <c r="AO2" s="73" t="s">
        <v>50</v>
      </c>
      <c r="AP2" s="73"/>
      <c r="AQ2" s="74"/>
    </row>
    <row r="3" spans="1:155" s="9" customFormat="1" ht="13.75" customHeight="1">
      <c r="A3" s="10" t="s">
        <v>51</v>
      </c>
      <c r="B3" s="10" t="s">
        <v>52</v>
      </c>
      <c r="C3" s="10" t="s">
        <v>53</v>
      </c>
      <c r="D3" s="10" t="s">
        <v>54</v>
      </c>
      <c r="E3" s="10" t="s">
        <v>55</v>
      </c>
      <c r="F3" s="15">
        <v>2025</v>
      </c>
      <c r="G3" s="8" t="s">
        <v>56</v>
      </c>
      <c r="H3" s="8" t="s">
        <v>57</v>
      </c>
      <c r="I3" s="7" t="s">
        <v>58</v>
      </c>
      <c r="J3" s="9">
        <v>1</v>
      </c>
      <c r="K3" s="9">
        <v>0</v>
      </c>
      <c r="L3" s="9">
        <v>1</v>
      </c>
      <c r="M3" s="9">
        <v>0</v>
      </c>
      <c r="N3" s="9">
        <v>1</v>
      </c>
      <c r="O3" s="9">
        <v>0</v>
      </c>
      <c r="P3" s="9">
        <v>1</v>
      </c>
      <c r="Q3" s="9">
        <v>1</v>
      </c>
      <c r="R3" s="9">
        <v>1</v>
      </c>
      <c r="S3" s="9">
        <v>1</v>
      </c>
      <c r="T3" s="9">
        <v>0</v>
      </c>
      <c r="U3" s="9">
        <v>0</v>
      </c>
      <c r="V3" s="9">
        <v>0</v>
      </c>
      <c r="W3" s="9">
        <v>0</v>
      </c>
      <c r="X3" s="9">
        <v>0</v>
      </c>
      <c r="Y3" s="9">
        <v>0</v>
      </c>
      <c r="Z3" s="9">
        <v>0</v>
      </c>
      <c r="AA3" s="9">
        <v>0</v>
      </c>
      <c r="AB3" s="9">
        <v>1</v>
      </c>
      <c r="AC3" s="9">
        <v>0</v>
      </c>
      <c r="AD3" s="9">
        <v>0</v>
      </c>
      <c r="AE3" s="9">
        <v>0</v>
      </c>
      <c r="AF3" s="9">
        <v>1</v>
      </c>
      <c r="AG3" s="9">
        <v>1</v>
      </c>
      <c r="AH3" s="9">
        <v>0</v>
      </c>
      <c r="AI3" s="9">
        <v>0</v>
      </c>
      <c r="AJ3" s="9">
        <v>0</v>
      </c>
      <c r="AK3" s="9">
        <v>0</v>
      </c>
      <c r="AL3" s="9">
        <v>1</v>
      </c>
      <c r="AM3" s="9">
        <v>1</v>
      </c>
      <c r="AN3" s="9">
        <v>0</v>
      </c>
      <c r="AO3" s="9" t="s">
        <v>59</v>
      </c>
      <c r="AP3" s="9" t="s">
        <v>59</v>
      </c>
      <c r="AQ3" s="9" t="s">
        <v>59</v>
      </c>
    </row>
    <row r="4" spans="1:155" s="9" customFormat="1" ht="13.75" customHeight="1">
      <c r="A4" s="10" t="s">
        <v>60</v>
      </c>
      <c r="B4" s="10" t="s">
        <v>61</v>
      </c>
      <c r="C4" s="10" t="s">
        <v>62</v>
      </c>
      <c r="D4" s="10" t="s">
        <v>63</v>
      </c>
      <c r="E4" s="10" t="s">
        <v>64</v>
      </c>
      <c r="F4" s="15">
        <v>2025</v>
      </c>
      <c r="G4" s="10" t="str">
        <f>HYPERLINK("http://dx.doi.org/10.1161/JAHA.124.036264","http://dx.doi.org/10.1161/JAHA.124.036264")</f>
        <v>http://dx.doi.org/10.1161/JAHA.124.036264</v>
      </c>
      <c r="H4" s="8" t="s">
        <v>65</v>
      </c>
      <c r="I4" s="7" t="s">
        <v>66</v>
      </c>
      <c r="J4" s="9">
        <v>1</v>
      </c>
      <c r="K4" s="9">
        <v>0</v>
      </c>
      <c r="L4" s="9">
        <v>0</v>
      </c>
      <c r="M4" s="9">
        <v>1</v>
      </c>
      <c r="N4" s="9">
        <v>1</v>
      </c>
      <c r="O4" s="9">
        <v>0</v>
      </c>
      <c r="P4" s="9">
        <v>0</v>
      </c>
      <c r="Q4" s="9" t="s">
        <v>59</v>
      </c>
      <c r="R4" s="9" t="s">
        <v>59</v>
      </c>
      <c r="S4" s="9" t="s">
        <v>59</v>
      </c>
      <c r="T4" s="9">
        <v>1</v>
      </c>
      <c r="U4" s="9">
        <v>0</v>
      </c>
      <c r="V4" s="9">
        <v>0</v>
      </c>
      <c r="W4" s="9">
        <v>0</v>
      </c>
      <c r="X4" s="9">
        <v>0</v>
      </c>
      <c r="Y4" s="9">
        <v>0</v>
      </c>
      <c r="Z4" s="9">
        <v>0</v>
      </c>
      <c r="AA4" s="9">
        <v>0</v>
      </c>
      <c r="AB4" s="9">
        <v>0</v>
      </c>
      <c r="AC4" s="9">
        <v>0</v>
      </c>
      <c r="AD4" s="9">
        <v>0</v>
      </c>
      <c r="AE4" s="9">
        <v>0</v>
      </c>
      <c r="AF4" s="9">
        <v>0</v>
      </c>
      <c r="AG4" s="9">
        <v>1</v>
      </c>
      <c r="AH4" s="9">
        <v>0</v>
      </c>
      <c r="AI4" s="9">
        <v>0</v>
      </c>
      <c r="AJ4" s="9">
        <v>0</v>
      </c>
      <c r="AK4" s="9">
        <v>0</v>
      </c>
      <c r="AL4" s="9">
        <v>1</v>
      </c>
      <c r="AM4" s="9">
        <v>1</v>
      </c>
      <c r="AN4" s="9">
        <v>0</v>
      </c>
      <c r="AO4" s="9" t="s">
        <v>59</v>
      </c>
      <c r="AP4" s="9" t="s">
        <v>59</v>
      </c>
      <c r="AQ4" s="9" t="s">
        <v>59</v>
      </c>
    </row>
    <row r="5" spans="1:155" s="9" customFormat="1" ht="13.75" customHeight="1">
      <c r="A5" s="10" t="s">
        <v>67</v>
      </c>
      <c r="B5" s="10" t="s">
        <v>68</v>
      </c>
      <c r="C5" s="10" t="s">
        <v>69</v>
      </c>
      <c r="D5" s="10" t="s">
        <v>70</v>
      </c>
      <c r="E5" s="10" t="s">
        <v>71</v>
      </c>
      <c r="F5" s="15">
        <v>2025</v>
      </c>
      <c r="G5" s="10" t="str">
        <f>HYPERLINK("http://dx.doi.org/10.1161/JAHA.124.036264","http://dx.doi.org/10.1161/JAHA.124.036264")</f>
        <v>http://dx.doi.org/10.1161/JAHA.124.036264</v>
      </c>
      <c r="H5" s="8" t="s">
        <v>72</v>
      </c>
      <c r="I5" s="8" t="s">
        <v>73</v>
      </c>
      <c r="J5" s="9">
        <v>1</v>
      </c>
      <c r="K5" s="9">
        <v>0</v>
      </c>
      <c r="L5" s="9">
        <v>1</v>
      </c>
      <c r="M5" s="9">
        <v>1</v>
      </c>
      <c r="N5" s="9">
        <v>1</v>
      </c>
      <c r="O5" s="9">
        <v>1</v>
      </c>
      <c r="P5" s="9">
        <v>1</v>
      </c>
      <c r="Q5" s="9">
        <v>1</v>
      </c>
      <c r="R5" s="9">
        <v>0</v>
      </c>
      <c r="S5" s="9">
        <v>1</v>
      </c>
      <c r="T5" s="9">
        <v>0</v>
      </c>
      <c r="U5" s="9">
        <v>0</v>
      </c>
      <c r="V5" s="9">
        <v>0</v>
      </c>
      <c r="W5" s="9">
        <v>0</v>
      </c>
      <c r="X5" s="9">
        <v>0</v>
      </c>
      <c r="Y5" s="9">
        <v>0</v>
      </c>
      <c r="Z5" s="9">
        <v>0</v>
      </c>
      <c r="AA5" s="9">
        <v>0</v>
      </c>
      <c r="AB5" s="9">
        <v>1</v>
      </c>
      <c r="AC5" s="9">
        <v>0</v>
      </c>
      <c r="AD5" s="9">
        <v>0</v>
      </c>
      <c r="AE5" s="9">
        <v>0</v>
      </c>
      <c r="AF5" s="9">
        <v>0</v>
      </c>
      <c r="AG5" s="9">
        <v>1</v>
      </c>
      <c r="AH5" s="9">
        <v>0</v>
      </c>
      <c r="AI5" s="9">
        <v>1</v>
      </c>
      <c r="AJ5" s="9">
        <v>0</v>
      </c>
      <c r="AK5" s="9">
        <v>0</v>
      </c>
      <c r="AL5" s="9">
        <v>1</v>
      </c>
      <c r="AM5" s="9">
        <v>1</v>
      </c>
      <c r="AN5" s="9">
        <v>0</v>
      </c>
      <c r="AO5" s="9" t="s">
        <v>59</v>
      </c>
      <c r="AP5" s="9" t="s">
        <v>59</v>
      </c>
      <c r="AQ5" s="9" t="s">
        <v>59</v>
      </c>
    </row>
    <row r="6" spans="1:155" s="9" customFormat="1" ht="13.75" customHeight="1">
      <c r="A6" s="10" t="s">
        <v>76</v>
      </c>
      <c r="B6" s="10" t="s">
        <v>77</v>
      </c>
      <c r="C6" s="10" t="s">
        <v>78</v>
      </c>
      <c r="D6" s="10" t="s">
        <v>79</v>
      </c>
      <c r="E6" s="10" t="s">
        <v>80</v>
      </c>
      <c r="F6" s="15">
        <v>2025</v>
      </c>
      <c r="G6" s="10" t="s">
        <v>81</v>
      </c>
      <c r="H6" s="8" t="s">
        <v>82</v>
      </c>
      <c r="I6" s="8" t="s">
        <v>83</v>
      </c>
      <c r="J6" s="9">
        <v>1</v>
      </c>
      <c r="K6" s="9">
        <v>0</v>
      </c>
      <c r="L6" s="9">
        <v>1</v>
      </c>
      <c r="M6" s="9">
        <v>1</v>
      </c>
      <c r="N6" s="9">
        <v>1</v>
      </c>
      <c r="O6" s="9">
        <v>0</v>
      </c>
      <c r="P6" s="9">
        <v>0</v>
      </c>
      <c r="Q6" s="9">
        <v>1</v>
      </c>
      <c r="R6" s="9">
        <v>0</v>
      </c>
      <c r="S6" s="9">
        <v>0</v>
      </c>
      <c r="T6" s="9">
        <v>1</v>
      </c>
      <c r="U6" s="9">
        <v>0</v>
      </c>
      <c r="V6" s="9">
        <v>0</v>
      </c>
      <c r="W6" s="9">
        <v>0</v>
      </c>
      <c r="X6" s="9">
        <v>0</v>
      </c>
      <c r="Y6" s="9">
        <v>0</v>
      </c>
      <c r="Z6" s="9">
        <v>1</v>
      </c>
      <c r="AA6" s="9">
        <v>0</v>
      </c>
      <c r="AB6" s="9">
        <v>1</v>
      </c>
      <c r="AC6" s="9">
        <v>0</v>
      </c>
      <c r="AD6" s="9">
        <v>0</v>
      </c>
      <c r="AE6" s="9">
        <v>0</v>
      </c>
      <c r="AF6" s="9">
        <v>0</v>
      </c>
      <c r="AG6" s="9">
        <v>0</v>
      </c>
      <c r="AH6" s="9">
        <v>1</v>
      </c>
      <c r="AI6" s="9">
        <v>0</v>
      </c>
      <c r="AJ6" s="9">
        <v>1</v>
      </c>
      <c r="AK6" s="9">
        <v>0</v>
      </c>
      <c r="AL6" s="9">
        <v>1</v>
      </c>
      <c r="AM6" s="9">
        <v>1</v>
      </c>
      <c r="AN6" s="9">
        <v>0</v>
      </c>
      <c r="AO6" s="9" t="s">
        <v>59</v>
      </c>
      <c r="AP6" s="9" t="s">
        <v>59</v>
      </c>
      <c r="AQ6" s="9" t="s">
        <v>59</v>
      </c>
    </row>
    <row r="7" spans="1:155" s="9" customFormat="1" ht="13.75" customHeight="1">
      <c r="A7" s="10" t="s">
        <v>84</v>
      </c>
      <c r="B7" s="10" t="s">
        <v>85</v>
      </c>
      <c r="C7" s="10" t="s">
        <v>86</v>
      </c>
      <c r="D7" s="10" t="s">
        <v>87</v>
      </c>
      <c r="E7" s="10" t="s">
        <v>88</v>
      </c>
      <c r="F7" s="15">
        <v>2025</v>
      </c>
      <c r="G7" s="10" t="s">
        <v>89</v>
      </c>
      <c r="H7" s="8" t="s">
        <v>57</v>
      </c>
      <c r="I7" s="8" t="s">
        <v>90</v>
      </c>
      <c r="J7" s="9">
        <v>1</v>
      </c>
      <c r="K7" s="9">
        <v>0</v>
      </c>
      <c r="L7" s="9">
        <v>1</v>
      </c>
      <c r="M7" s="9">
        <v>1</v>
      </c>
      <c r="N7" s="9">
        <v>1</v>
      </c>
      <c r="O7" s="9">
        <v>0</v>
      </c>
      <c r="P7" s="9">
        <v>0</v>
      </c>
      <c r="Q7" s="9">
        <v>0</v>
      </c>
      <c r="R7" s="9">
        <v>0</v>
      </c>
      <c r="S7" s="9">
        <v>0</v>
      </c>
      <c r="T7" s="9">
        <v>0</v>
      </c>
      <c r="U7" s="9">
        <v>0</v>
      </c>
      <c r="V7" s="9">
        <v>0</v>
      </c>
      <c r="W7" s="9">
        <v>0</v>
      </c>
      <c r="X7" s="9">
        <v>0</v>
      </c>
      <c r="Y7" s="9">
        <v>0</v>
      </c>
      <c r="Z7" s="9">
        <v>0</v>
      </c>
      <c r="AA7" s="9">
        <v>0</v>
      </c>
      <c r="AB7" s="9">
        <v>0</v>
      </c>
      <c r="AC7" s="9">
        <v>0</v>
      </c>
      <c r="AD7" s="9">
        <v>0</v>
      </c>
      <c r="AE7" s="9">
        <v>1</v>
      </c>
      <c r="AF7" s="9">
        <v>0</v>
      </c>
      <c r="AG7" s="9">
        <v>1</v>
      </c>
      <c r="AH7" s="9">
        <v>1</v>
      </c>
      <c r="AI7" s="9">
        <v>0</v>
      </c>
      <c r="AJ7" s="9">
        <v>0</v>
      </c>
      <c r="AK7" s="9">
        <v>0</v>
      </c>
      <c r="AL7" s="9">
        <v>1</v>
      </c>
      <c r="AM7" s="9">
        <v>1</v>
      </c>
      <c r="AN7" s="9">
        <v>0</v>
      </c>
      <c r="AO7" s="9" t="s">
        <v>59</v>
      </c>
      <c r="AP7" s="9" t="s">
        <v>59</v>
      </c>
      <c r="AQ7" s="9" t="s">
        <v>59</v>
      </c>
    </row>
    <row r="8" spans="1:155" s="9" customFormat="1" ht="13.75" customHeight="1">
      <c r="A8" s="10" t="s">
        <v>91</v>
      </c>
      <c r="B8" s="10" t="s">
        <v>92</v>
      </c>
      <c r="C8" s="10" t="s">
        <v>93</v>
      </c>
      <c r="D8" s="10" t="s">
        <v>94</v>
      </c>
      <c r="E8" s="10" t="s">
        <v>95</v>
      </c>
      <c r="F8" s="15">
        <v>2025</v>
      </c>
      <c r="G8" s="10" t="s">
        <v>96</v>
      </c>
      <c r="H8" s="8" t="s">
        <v>97</v>
      </c>
      <c r="I8" s="8" t="s">
        <v>98</v>
      </c>
      <c r="J8" s="9">
        <v>1</v>
      </c>
      <c r="K8" s="9">
        <v>0</v>
      </c>
      <c r="L8" s="9">
        <v>1</v>
      </c>
      <c r="M8" s="11">
        <v>0</v>
      </c>
      <c r="N8" s="11">
        <v>1</v>
      </c>
      <c r="O8" s="11">
        <v>0</v>
      </c>
      <c r="P8" s="11">
        <v>0</v>
      </c>
      <c r="Q8" s="11" t="s">
        <v>59</v>
      </c>
      <c r="R8" s="11" t="s">
        <v>59</v>
      </c>
      <c r="S8" s="11" t="s">
        <v>59</v>
      </c>
      <c r="T8" s="11">
        <v>0</v>
      </c>
      <c r="U8" s="11">
        <v>0</v>
      </c>
      <c r="V8" s="11">
        <v>0</v>
      </c>
      <c r="W8" s="11">
        <v>0</v>
      </c>
      <c r="X8" s="11">
        <v>0</v>
      </c>
      <c r="Y8" s="11">
        <v>0</v>
      </c>
      <c r="Z8" s="9">
        <v>1</v>
      </c>
      <c r="AA8" s="9">
        <v>0</v>
      </c>
      <c r="AB8" s="9">
        <v>0</v>
      </c>
      <c r="AC8" s="9">
        <v>0</v>
      </c>
      <c r="AD8" s="9">
        <v>0</v>
      </c>
      <c r="AE8" s="9">
        <v>0</v>
      </c>
      <c r="AF8" s="9">
        <v>1</v>
      </c>
      <c r="AG8" s="9">
        <v>0</v>
      </c>
      <c r="AH8" s="9">
        <v>0</v>
      </c>
      <c r="AI8" s="9">
        <v>0</v>
      </c>
      <c r="AJ8" s="9">
        <v>1</v>
      </c>
      <c r="AK8" s="9">
        <v>0</v>
      </c>
      <c r="AL8" s="9">
        <v>1</v>
      </c>
      <c r="AM8" s="9">
        <v>1</v>
      </c>
      <c r="AN8" s="9">
        <v>0</v>
      </c>
      <c r="AO8" s="9" t="s">
        <v>59</v>
      </c>
      <c r="AP8" s="9" t="s">
        <v>59</v>
      </c>
      <c r="AQ8" s="9" t="s">
        <v>59</v>
      </c>
    </row>
    <row r="9" spans="1:155" s="9" customFormat="1" ht="13.75" customHeight="1">
      <c r="A9" s="10" t="s">
        <v>99</v>
      </c>
      <c r="B9" s="10" t="s">
        <v>100</v>
      </c>
      <c r="C9" s="10" t="s">
        <v>101</v>
      </c>
      <c r="D9" s="10" t="s">
        <v>102</v>
      </c>
      <c r="E9" s="10" t="s">
        <v>103</v>
      </c>
      <c r="F9" s="15">
        <v>2025</v>
      </c>
      <c r="G9" s="10" t="s">
        <v>104</v>
      </c>
      <c r="H9" s="8" t="s">
        <v>105</v>
      </c>
      <c r="I9" s="8" t="s">
        <v>106</v>
      </c>
      <c r="J9" s="9">
        <v>1</v>
      </c>
      <c r="K9" s="9">
        <v>0</v>
      </c>
      <c r="L9" s="9" t="s">
        <v>59</v>
      </c>
      <c r="M9" s="11" t="s">
        <v>59</v>
      </c>
      <c r="N9" s="11">
        <v>1</v>
      </c>
      <c r="O9" s="11">
        <v>0</v>
      </c>
      <c r="P9" s="11">
        <v>0</v>
      </c>
      <c r="Q9" s="11">
        <v>1</v>
      </c>
      <c r="R9" s="11">
        <v>1</v>
      </c>
      <c r="S9" s="11">
        <v>1</v>
      </c>
      <c r="T9" s="11">
        <v>0</v>
      </c>
      <c r="U9" s="11">
        <v>0</v>
      </c>
      <c r="V9" s="11">
        <v>0</v>
      </c>
      <c r="W9" s="11">
        <v>0</v>
      </c>
      <c r="X9" s="11">
        <v>0</v>
      </c>
      <c r="Y9" s="11">
        <v>0</v>
      </c>
      <c r="Z9" s="11">
        <v>0</v>
      </c>
      <c r="AA9" s="11">
        <v>0</v>
      </c>
      <c r="AB9" s="11">
        <v>1</v>
      </c>
      <c r="AC9" s="11">
        <v>0</v>
      </c>
      <c r="AD9" s="11">
        <v>0</v>
      </c>
      <c r="AE9" s="11">
        <v>0</v>
      </c>
      <c r="AF9" s="11" t="s">
        <v>59</v>
      </c>
      <c r="AG9" s="11" t="s">
        <v>59</v>
      </c>
      <c r="AH9" s="11" t="s">
        <v>59</v>
      </c>
      <c r="AI9" s="11" t="s">
        <v>59</v>
      </c>
      <c r="AJ9" s="11">
        <v>0</v>
      </c>
      <c r="AK9" s="11">
        <v>0</v>
      </c>
      <c r="AL9" s="11">
        <v>1</v>
      </c>
      <c r="AM9" s="9">
        <v>1</v>
      </c>
      <c r="AN9" s="9">
        <v>0</v>
      </c>
      <c r="AO9" s="9" t="s">
        <v>59</v>
      </c>
      <c r="AP9" s="9" t="s">
        <v>59</v>
      </c>
      <c r="AQ9" s="9" t="s">
        <v>59</v>
      </c>
    </row>
    <row r="10" spans="1:155" s="9" customFormat="1" ht="13.75" customHeight="1">
      <c r="A10" s="10" t="s">
        <v>107</v>
      </c>
      <c r="B10" s="10" t="s">
        <v>108</v>
      </c>
      <c r="C10" s="10" t="s">
        <v>109</v>
      </c>
      <c r="D10" s="10" t="s">
        <v>110</v>
      </c>
      <c r="E10" s="10" t="s">
        <v>111</v>
      </c>
      <c r="F10" s="15">
        <v>2025</v>
      </c>
      <c r="G10" s="10" t="s">
        <v>112</v>
      </c>
      <c r="H10" s="8" t="s">
        <v>113</v>
      </c>
      <c r="I10" s="8" t="s">
        <v>114</v>
      </c>
      <c r="J10" s="9">
        <v>1</v>
      </c>
      <c r="K10" s="9">
        <v>1</v>
      </c>
      <c r="L10" s="9">
        <v>1</v>
      </c>
      <c r="M10" s="11">
        <v>1</v>
      </c>
      <c r="N10" s="11">
        <v>1</v>
      </c>
      <c r="O10" s="11">
        <v>0</v>
      </c>
      <c r="P10" s="11">
        <v>0</v>
      </c>
      <c r="Q10" s="9" t="s">
        <v>115</v>
      </c>
      <c r="R10" s="9">
        <v>0</v>
      </c>
      <c r="S10" s="9">
        <v>1</v>
      </c>
      <c r="T10" s="9">
        <v>0</v>
      </c>
      <c r="U10" s="9">
        <v>0</v>
      </c>
      <c r="V10" s="9">
        <v>0</v>
      </c>
      <c r="W10" s="9">
        <v>0</v>
      </c>
      <c r="X10" s="9">
        <v>0</v>
      </c>
      <c r="Y10" s="9">
        <v>0</v>
      </c>
      <c r="Z10" s="9">
        <v>0</v>
      </c>
      <c r="AA10" s="9">
        <v>0</v>
      </c>
      <c r="AB10" s="9">
        <v>1</v>
      </c>
      <c r="AC10" s="9">
        <v>0</v>
      </c>
      <c r="AD10" s="9">
        <v>0</v>
      </c>
      <c r="AE10" s="9">
        <v>0</v>
      </c>
      <c r="AF10" s="9">
        <v>1</v>
      </c>
      <c r="AG10" s="9">
        <v>0</v>
      </c>
      <c r="AH10" s="9">
        <v>0</v>
      </c>
      <c r="AI10" s="9">
        <v>0</v>
      </c>
      <c r="AJ10" s="11">
        <v>0</v>
      </c>
      <c r="AK10" s="11">
        <v>0</v>
      </c>
      <c r="AL10" s="11">
        <v>1</v>
      </c>
      <c r="AM10" s="9">
        <v>1</v>
      </c>
      <c r="AN10" s="9">
        <v>0</v>
      </c>
      <c r="AO10" s="9" t="s">
        <v>59</v>
      </c>
      <c r="AP10" s="9" t="s">
        <v>59</v>
      </c>
      <c r="AQ10" s="9" t="s">
        <v>59</v>
      </c>
    </row>
    <row r="11" spans="1:155" s="9" customFormat="1" ht="13.75" customHeight="1">
      <c r="A11" s="10" t="s">
        <v>118</v>
      </c>
      <c r="B11" s="10" t="s">
        <v>119</v>
      </c>
      <c r="C11" s="8" t="s">
        <v>120</v>
      </c>
      <c r="D11" s="10" t="s">
        <v>121</v>
      </c>
      <c r="E11" s="10" t="s">
        <v>122</v>
      </c>
      <c r="F11" s="16">
        <v>2025</v>
      </c>
      <c r="G11" s="10" t="s">
        <v>123</v>
      </c>
      <c r="H11" s="8" t="s">
        <v>124</v>
      </c>
      <c r="I11" s="8" t="s">
        <v>125</v>
      </c>
      <c r="J11" s="7">
        <v>1</v>
      </c>
      <c r="K11" s="7">
        <v>0</v>
      </c>
      <c r="L11" s="7">
        <v>1</v>
      </c>
      <c r="M11" s="7">
        <v>0</v>
      </c>
      <c r="N11" s="7">
        <v>0</v>
      </c>
      <c r="O11" s="7">
        <v>0</v>
      </c>
      <c r="P11" s="7">
        <v>0</v>
      </c>
      <c r="Q11" s="7">
        <v>1</v>
      </c>
      <c r="R11" s="7">
        <v>0</v>
      </c>
      <c r="S11" s="7">
        <v>1</v>
      </c>
      <c r="T11" s="7">
        <v>1</v>
      </c>
      <c r="U11" s="7">
        <v>1</v>
      </c>
      <c r="V11" s="7">
        <v>1</v>
      </c>
      <c r="W11" s="7">
        <v>1</v>
      </c>
      <c r="X11" s="7">
        <v>1</v>
      </c>
      <c r="Y11" s="7">
        <v>1</v>
      </c>
      <c r="Z11" s="7">
        <v>1</v>
      </c>
      <c r="AA11" s="7">
        <v>1</v>
      </c>
      <c r="AB11" s="7">
        <v>1</v>
      </c>
      <c r="AC11" s="7">
        <v>1</v>
      </c>
      <c r="AD11" s="7">
        <v>1</v>
      </c>
      <c r="AE11" s="7">
        <v>1</v>
      </c>
      <c r="AF11" s="7" t="s">
        <v>59</v>
      </c>
      <c r="AG11" s="7" t="s">
        <v>59</v>
      </c>
      <c r="AH11" s="7" t="s">
        <v>59</v>
      </c>
      <c r="AI11" s="7" t="s">
        <v>59</v>
      </c>
      <c r="AJ11" s="7">
        <v>0</v>
      </c>
      <c r="AK11" s="7">
        <v>0</v>
      </c>
      <c r="AL11" s="7">
        <v>1</v>
      </c>
      <c r="AM11" s="7">
        <v>1</v>
      </c>
      <c r="AN11" s="7">
        <v>0</v>
      </c>
      <c r="AO11" s="7" t="s">
        <v>59</v>
      </c>
      <c r="AP11" s="7" t="s">
        <v>59</v>
      </c>
      <c r="AQ11" s="7" t="s">
        <v>59</v>
      </c>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row>
    <row r="12" spans="1:155" s="9" customFormat="1" ht="13.75" customHeight="1">
      <c r="A12" s="10" t="s">
        <v>127</v>
      </c>
      <c r="B12" s="10" t="s">
        <v>128</v>
      </c>
      <c r="C12" s="10" t="s">
        <v>53</v>
      </c>
      <c r="D12" s="10" t="s">
        <v>129</v>
      </c>
      <c r="E12" s="10" t="s">
        <v>130</v>
      </c>
      <c r="F12" s="15">
        <v>2025</v>
      </c>
      <c r="G12" s="10" t="s">
        <v>131</v>
      </c>
      <c r="H12" s="8" t="s">
        <v>57</v>
      </c>
      <c r="I12" s="8" t="s">
        <v>132</v>
      </c>
      <c r="J12" s="9">
        <v>1</v>
      </c>
      <c r="K12" s="9">
        <v>0</v>
      </c>
      <c r="L12" s="9">
        <v>0</v>
      </c>
      <c r="M12" s="11">
        <v>1</v>
      </c>
      <c r="N12" s="11">
        <v>1</v>
      </c>
      <c r="O12" s="11">
        <v>0</v>
      </c>
      <c r="P12" s="11">
        <v>0</v>
      </c>
      <c r="Q12" s="9">
        <v>0</v>
      </c>
      <c r="R12" s="9">
        <v>0</v>
      </c>
      <c r="S12" s="9">
        <v>1</v>
      </c>
      <c r="T12" s="9">
        <v>0</v>
      </c>
      <c r="U12" s="9">
        <v>0</v>
      </c>
      <c r="V12" s="9">
        <v>0</v>
      </c>
      <c r="W12" s="9">
        <v>0</v>
      </c>
      <c r="X12" s="9">
        <v>0</v>
      </c>
      <c r="Y12" s="9">
        <v>0</v>
      </c>
      <c r="Z12" s="9">
        <v>0</v>
      </c>
      <c r="AA12" s="9">
        <v>0</v>
      </c>
      <c r="AB12" s="9">
        <v>1</v>
      </c>
      <c r="AC12" s="9">
        <v>0</v>
      </c>
      <c r="AD12" s="9">
        <v>0</v>
      </c>
      <c r="AE12" s="9">
        <v>0</v>
      </c>
      <c r="AF12" s="9">
        <v>1</v>
      </c>
      <c r="AG12" s="9">
        <v>1</v>
      </c>
      <c r="AH12" s="9">
        <v>1</v>
      </c>
      <c r="AI12" s="9">
        <v>0</v>
      </c>
      <c r="AJ12" s="11">
        <v>0</v>
      </c>
      <c r="AK12" s="11">
        <v>0</v>
      </c>
      <c r="AL12" s="11">
        <v>1</v>
      </c>
      <c r="AM12" s="9">
        <v>1</v>
      </c>
      <c r="AN12" s="9">
        <v>0</v>
      </c>
      <c r="AO12" s="9" t="s">
        <v>59</v>
      </c>
      <c r="AP12" s="9" t="s">
        <v>59</v>
      </c>
      <c r="AQ12" s="9" t="s">
        <v>59</v>
      </c>
    </row>
    <row r="13" spans="1:155" s="9" customFormat="1" ht="13.75" customHeight="1">
      <c r="A13" s="10" t="s">
        <v>136</v>
      </c>
      <c r="B13" s="10" t="s">
        <v>137</v>
      </c>
      <c r="C13" s="10" t="s">
        <v>138</v>
      </c>
      <c r="D13" s="10" t="s">
        <v>139</v>
      </c>
      <c r="E13" s="10" t="s">
        <v>140</v>
      </c>
      <c r="F13" s="15">
        <v>2025</v>
      </c>
      <c r="G13" s="10" t="s">
        <v>141</v>
      </c>
      <c r="H13" s="8" t="s">
        <v>124</v>
      </c>
      <c r="I13" s="8" t="s">
        <v>142</v>
      </c>
      <c r="J13" s="9">
        <v>1</v>
      </c>
      <c r="K13" s="9">
        <v>0</v>
      </c>
      <c r="L13" s="9">
        <v>0</v>
      </c>
      <c r="M13" s="11">
        <v>1</v>
      </c>
      <c r="N13" s="11">
        <v>1</v>
      </c>
      <c r="O13" s="11">
        <v>0</v>
      </c>
      <c r="P13" s="11">
        <v>0</v>
      </c>
      <c r="Q13" s="11" t="s">
        <v>59</v>
      </c>
      <c r="R13" s="11" t="s">
        <v>59</v>
      </c>
      <c r="S13" s="11" t="s">
        <v>59</v>
      </c>
      <c r="T13" s="9">
        <v>1</v>
      </c>
      <c r="U13" s="9">
        <v>0</v>
      </c>
      <c r="V13" s="9">
        <v>0</v>
      </c>
      <c r="W13" s="9">
        <v>0</v>
      </c>
      <c r="X13" s="9">
        <v>0</v>
      </c>
      <c r="Y13" s="9">
        <v>0</v>
      </c>
      <c r="Z13" s="9">
        <v>0</v>
      </c>
      <c r="AA13" s="9">
        <v>0</v>
      </c>
      <c r="AB13" s="9">
        <v>1</v>
      </c>
      <c r="AC13" s="9">
        <v>0</v>
      </c>
      <c r="AD13" s="9">
        <v>0</v>
      </c>
      <c r="AE13" s="9">
        <v>0</v>
      </c>
      <c r="AF13" s="12" t="s">
        <v>59</v>
      </c>
      <c r="AG13" s="12" t="s">
        <v>59</v>
      </c>
      <c r="AH13" s="12" t="s">
        <v>59</v>
      </c>
      <c r="AI13" s="12" t="s">
        <v>59</v>
      </c>
      <c r="AJ13" s="11">
        <v>0</v>
      </c>
      <c r="AK13" s="11">
        <v>0</v>
      </c>
      <c r="AL13" s="11">
        <v>1</v>
      </c>
      <c r="AM13" s="9">
        <v>1</v>
      </c>
      <c r="AN13" s="9">
        <v>0</v>
      </c>
      <c r="AO13" s="9" t="s">
        <v>59</v>
      </c>
      <c r="AP13" s="9" t="s">
        <v>59</v>
      </c>
      <c r="AQ13" s="9" t="s">
        <v>59</v>
      </c>
    </row>
    <row r="14" spans="1:155" s="9" customFormat="1" ht="13.75" customHeight="1">
      <c r="A14" s="10" t="s">
        <v>145</v>
      </c>
      <c r="B14" s="10" t="s">
        <v>146</v>
      </c>
      <c r="C14" s="10" t="s">
        <v>147</v>
      </c>
      <c r="D14" s="16"/>
      <c r="E14" s="10" t="s">
        <v>148</v>
      </c>
      <c r="F14" s="15">
        <v>2025</v>
      </c>
      <c r="G14" s="10" t="s">
        <v>149</v>
      </c>
      <c r="H14" s="8" t="s">
        <v>150</v>
      </c>
      <c r="I14" s="8" t="s">
        <v>151</v>
      </c>
      <c r="J14" s="9">
        <v>1</v>
      </c>
      <c r="K14" s="9">
        <v>0</v>
      </c>
      <c r="L14" s="9">
        <v>1</v>
      </c>
      <c r="M14" s="11">
        <v>1</v>
      </c>
      <c r="N14" s="9">
        <v>1</v>
      </c>
      <c r="O14" s="11">
        <v>0</v>
      </c>
      <c r="P14" s="11">
        <v>0</v>
      </c>
      <c r="Q14" s="9" t="s">
        <v>59</v>
      </c>
      <c r="R14" s="9" t="s">
        <v>59</v>
      </c>
      <c r="S14" s="9" t="s">
        <v>59</v>
      </c>
      <c r="T14" s="13" t="s">
        <v>59</v>
      </c>
      <c r="U14" s="13" t="s">
        <v>59</v>
      </c>
      <c r="V14" s="13" t="s">
        <v>59</v>
      </c>
      <c r="W14" s="13" t="s">
        <v>59</v>
      </c>
      <c r="X14" s="13" t="s">
        <v>59</v>
      </c>
      <c r="Y14" s="13" t="s">
        <v>59</v>
      </c>
      <c r="Z14" s="13" t="s">
        <v>59</v>
      </c>
      <c r="AA14" s="13" t="s">
        <v>59</v>
      </c>
      <c r="AB14" s="13" t="s">
        <v>59</v>
      </c>
      <c r="AC14" s="13" t="s">
        <v>59</v>
      </c>
      <c r="AD14" s="13" t="s">
        <v>59</v>
      </c>
      <c r="AE14" s="13">
        <v>0</v>
      </c>
      <c r="AF14" s="13">
        <v>0</v>
      </c>
      <c r="AG14" s="9">
        <v>1</v>
      </c>
      <c r="AH14" s="9">
        <v>1</v>
      </c>
      <c r="AI14" s="12">
        <v>1</v>
      </c>
      <c r="AJ14" s="14">
        <v>1</v>
      </c>
      <c r="AK14" s="14">
        <v>0</v>
      </c>
      <c r="AL14" s="11">
        <v>1</v>
      </c>
      <c r="AM14" s="9">
        <v>1</v>
      </c>
      <c r="AN14" s="9">
        <v>0</v>
      </c>
      <c r="AO14" s="9" t="s">
        <v>59</v>
      </c>
      <c r="AP14" s="9" t="s">
        <v>59</v>
      </c>
      <c r="AQ14" s="9" t="s">
        <v>59</v>
      </c>
    </row>
    <row r="15" spans="1:155" s="9" customFormat="1" ht="13.75" customHeight="1">
      <c r="A15" s="10" t="s">
        <v>152</v>
      </c>
      <c r="B15" s="10" t="s">
        <v>153</v>
      </c>
      <c r="C15" s="10" t="s">
        <v>154</v>
      </c>
      <c r="D15" s="10" t="s">
        <v>155</v>
      </c>
      <c r="E15" s="10" t="s">
        <v>156</v>
      </c>
      <c r="F15" s="15">
        <v>2025</v>
      </c>
      <c r="G15" s="10" t="s">
        <v>157</v>
      </c>
      <c r="H15" s="8" t="s">
        <v>75</v>
      </c>
      <c r="I15" s="8" t="s">
        <v>158</v>
      </c>
      <c r="J15" s="9">
        <v>1</v>
      </c>
      <c r="K15" s="9">
        <v>0</v>
      </c>
      <c r="L15" s="9">
        <v>0</v>
      </c>
      <c r="M15" s="11">
        <v>1</v>
      </c>
      <c r="N15" s="11">
        <v>1</v>
      </c>
      <c r="O15" s="11">
        <v>0</v>
      </c>
      <c r="P15" s="11">
        <v>0</v>
      </c>
      <c r="Q15" s="11">
        <v>1</v>
      </c>
      <c r="R15" s="11">
        <v>0</v>
      </c>
      <c r="S15" s="11">
        <v>1</v>
      </c>
      <c r="T15" s="9">
        <v>0</v>
      </c>
      <c r="U15" s="9">
        <v>0</v>
      </c>
      <c r="V15" s="9">
        <v>0</v>
      </c>
      <c r="W15" s="9">
        <v>0</v>
      </c>
      <c r="X15" s="9">
        <v>0</v>
      </c>
      <c r="Y15" s="9">
        <v>0</v>
      </c>
      <c r="Z15" s="9">
        <v>0</v>
      </c>
      <c r="AA15" s="9">
        <v>1</v>
      </c>
      <c r="AB15" s="9">
        <v>0</v>
      </c>
      <c r="AC15" s="9">
        <v>0</v>
      </c>
      <c r="AD15" s="9">
        <v>0</v>
      </c>
      <c r="AE15" s="9">
        <v>0</v>
      </c>
      <c r="AF15" s="9">
        <v>0</v>
      </c>
      <c r="AG15" s="9">
        <v>1</v>
      </c>
      <c r="AH15" s="9">
        <v>0</v>
      </c>
      <c r="AI15" s="9">
        <v>0</v>
      </c>
      <c r="AJ15" s="11">
        <v>0</v>
      </c>
      <c r="AK15" s="11">
        <v>0</v>
      </c>
      <c r="AL15" s="11">
        <v>1</v>
      </c>
      <c r="AM15" s="9">
        <v>1</v>
      </c>
      <c r="AN15" s="9">
        <v>0</v>
      </c>
      <c r="AO15" s="9" t="s">
        <v>59</v>
      </c>
      <c r="AP15" s="9" t="s">
        <v>59</v>
      </c>
      <c r="AQ15" s="9" t="s">
        <v>59</v>
      </c>
    </row>
    <row r="16" spans="1:155" s="9" customFormat="1" ht="13.75" customHeight="1">
      <c r="A16" s="10" t="s">
        <v>160</v>
      </c>
      <c r="B16" s="10" t="s">
        <v>161</v>
      </c>
      <c r="C16" s="10" t="s">
        <v>162</v>
      </c>
      <c r="D16" s="10" t="s">
        <v>163</v>
      </c>
      <c r="E16" s="10" t="s">
        <v>164</v>
      </c>
      <c r="F16" s="15">
        <v>2025</v>
      </c>
      <c r="G16" s="10" t="s">
        <v>165</v>
      </c>
      <c r="H16" s="8" t="s">
        <v>124</v>
      </c>
      <c r="I16" s="7" t="s">
        <v>166</v>
      </c>
      <c r="J16" s="9">
        <v>1</v>
      </c>
      <c r="K16" s="9">
        <v>0</v>
      </c>
      <c r="L16" s="9" t="s">
        <v>59</v>
      </c>
      <c r="M16" s="11" t="s">
        <v>59</v>
      </c>
      <c r="N16" s="11" t="s">
        <v>59</v>
      </c>
      <c r="O16" s="11" t="s">
        <v>59</v>
      </c>
      <c r="P16" s="11" t="s">
        <v>59</v>
      </c>
      <c r="Q16" s="11">
        <v>1</v>
      </c>
      <c r="R16" s="11">
        <v>0</v>
      </c>
      <c r="S16" s="11">
        <v>1</v>
      </c>
      <c r="T16" s="12">
        <v>0</v>
      </c>
      <c r="U16" s="13">
        <v>0</v>
      </c>
      <c r="V16" s="13">
        <v>0</v>
      </c>
      <c r="W16" s="13">
        <v>0</v>
      </c>
      <c r="X16" s="13">
        <v>0</v>
      </c>
      <c r="Y16" s="13">
        <v>0</v>
      </c>
      <c r="Z16" s="13">
        <v>0</v>
      </c>
      <c r="AA16" s="13">
        <v>0</v>
      </c>
      <c r="AB16" s="13">
        <v>1</v>
      </c>
      <c r="AC16" s="13">
        <v>0</v>
      </c>
      <c r="AD16" s="13">
        <v>0</v>
      </c>
      <c r="AE16" s="13">
        <v>0</v>
      </c>
      <c r="AF16" s="13">
        <v>1</v>
      </c>
      <c r="AG16" s="13">
        <v>1</v>
      </c>
      <c r="AH16" s="13">
        <v>0</v>
      </c>
      <c r="AI16" s="13">
        <v>0</v>
      </c>
      <c r="AJ16" s="11">
        <v>0</v>
      </c>
      <c r="AK16" s="11">
        <v>0</v>
      </c>
      <c r="AL16" s="11">
        <v>1</v>
      </c>
      <c r="AM16" s="9">
        <v>1</v>
      </c>
      <c r="AN16" s="9">
        <v>0</v>
      </c>
      <c r="AO16" s="9" t="s">
        <v>59</v>
      </c>
      <c r="AP16" s="9" t="s">
        <v>59</v>
      </c>
      <c r="AQ16" s="9" t="s">
        <v>59</v>
      </c>
    </row>
    <row r="17" spans="1:155" s="9" customFormat="1" ht="13.75" customHeight="1">
      <c r="A17" s="10" t="s">
        <v>167</v>
      </c>
      <c r="B17" s="10" t="s">
        <v>168</v>
      </c>
      <c r="C17" s="10" t="s">
        <v>169</v>
      </c>
      <c r="D17" s="10" t="s">
        <v>170</v>
      </c>
      <c r="E17" s="10" t="s">
        <v>171</v>
      </c>
      <c r="F17" s="15">
        <v>2025</v>
      </c>
      <c r="G17" s="10" t="s">
        <v>172</v>
      </c>
      <c r="H17" s="8" t="s">
        <v>105</v>
      </c>
      <c r="I17" s="7" t="s">
        <v>173</v>
      </c>
      <c r="J17" s="9">
        <v>1</v>
      </c>
      <c r="K17" s="9">
        <v>0</v>
      </c>
      <c r="L17" s="9">
        <v>1</v>
      </c>
      <c r="M17" s="11">
        <v>1</v>
      </c>
      <c r="N17" s="11">
        <v>1</v>
      </c>
      <c r="O17" s="11">
        <v>0</v>
      </c>
      <c r="P17" s="11">
        <v>0</v>
      </c>
      <c r="Q17" s="11" t="s">
        <v>59</v>
      </c>
      <c r="R17" s="11" t="s">
        <v>59</v>
      </c>
      <c r="S17" s="11" t="s">
        <v>59</v>
      </c>
      <c r="T17" s="13" t="s">
        <v>59</v>
      </c>
      <c r="U17" s="13" t="s">
        <v>59</v>
      </c>
      <c r="V17" s="13" t="s">
        <v>59</v>
      </c>
      <c r="W17" s="13" t="s">
        <v>59</v>
      </c>
      <c r="X17" s="13" t="s">
        <v>59</v>
      </c>
      <c r="Y17" s="13" t="s">
        <v>59</v>
      </c>
      <c r="Z17" s="13" t="s">
        <v>59</v>
      </c>
      <c r="AA17" s="13" t="s">
        <v>59</v>
      </c>
      <c r="AB17" s="13" t="s">
        <v>59</v>
      </c>
      <c r="AC17" s="13" t="s">
        <v>59</v>
      </c>
      <c r="AD17" s="13" t="s">
        <v>59</v>
      </c>
      <c r="AE17" s="13">
        <v>0</v>
      </c>
      <c r="AF17" s="13" t="s">
        <v>59</v>
      </c>
      <c r="AG17" s="13" t="s">
        <v>59</v>
      </c>
      <c r="AH17" s="13" t="s">
        <v>59</v>
      </c>
      <c r="AI17" s="12" t="s">
        <v>59</v>
      </c>
      <c r="AJ17" s="11">
        <v>1</v>
      </c>
      <c r="AK17" s="11">
        <v>0</v>
      </c>
      <c r="AL17" s="11">
        <v>0</v>
      </c>
      <c r="AM17" s="9">
        <v>1</v>
      </c>
      <c r="AN17" s="9">
        <v>0</v>
      </c>
      <c r="AO17" s="9" t="s">
        <v>59</v>
      </c>
      <c r="AP17" s="9" t="s">
        <v>59</v>
      </c>
      <c r="AQ17" s="9" t="s">
        <v>59</v>
      </c>
    </row>
    <row r="18" spans="1:155" s="9" customFormat="1" ht="13.75" customHeight="1">
      <c r="A18" s="10" t="s">
        <v>174</v>
      </c>
      <c r="B18" s="10" t="s">
        <v>175</v>
      </c>
      <c r="C18" s="10" t="s">
        <v>176</v>
      </c>
      <c r="D18" s="10" t="s">
        <v>177</v>
      </c>
      <c r="E18" s="10" t="s">
        <v>178</v>
      </c>
      <c r="F18" s="15">
        <v>2025</v>
      </c>
      <c r="G18" s="10" t="s">
        <v>179</v>
      </c>
      <c r="H18" s="8" t="s">
        <v>180</v>
      </c>
      <c r="I18" s="8" t="s">
        <v>181</v>
      </c>
      <c r="J18" s="9">
        <v>1</v>
      </c>
      <c r="K18" s="9">
        <v>0</v>
      </c>
      <c r="L18" s="9">
        <v>0</v>
      </c>
      <c r="M18" s="11">
        <v>1</v>
      </c>
      <c r="N18" s="9">
        <v>1</v>
      </c>
      <c r="O18" s="11">
        <v>0</v>
      </c>
      <c r="P18" s="11">
        <v>0</v>
      </c>
      <c r="Q18" s="9">
        <v>1</v>
      </c>
      <c r="R18" s="9">
        <v>1</v>
      </c>
      <c r="S18" s="9">
        <v>1</v>
      </c>
      <c r="T18" s="13" t="s">
        <v>59</v>
      </c>
      <c r="U18" s="13" t="s">
        <v>59</v>
      </c>
      <c r="V18" s="13" t="s">
        <v>59</v>
      </c>
      <c r="W18" s="13" t="s">
        <v>59</v>
      </c>
      <c r="X18" s="13" t="s">
        <v>59</v>
      </c>
      <c r="Y18" s="13" t="s">
        <v>59</v>
      </c>
      <c r="Z18" s="13" t="s">
        <v>59</v>
      </c>
      <c r="AA18" s="13" t="s">
        <v>59</v>
      </c>
      <c r="AB18" s="13" t="s">
        <v>59</v>
      </c>
      <c r="AC18" s="13" t="s">
        <v>59</v>
      </c>
      <c r="AD18" s="13" t="s">
        <v>59</v>
      </c>
      <c r="AE18" s="13">
        <v>1</v>
      </c>
      <c r="AF18" s="9">
        <v>0</v>
      </c>
      <c r="AG18" s="9">
        <v>0</v>
      </c>
      <c r="AH18" s="9">
        <v>1</v>
      </c>
      <c r="AI18" s="9">
        <v>0</v>
      </c>
      <c r="AJ18" s="11">
        <v>1</v>
      </c>
      <c r="AK18" s="11">
        <v>1</v>
      </c>
      <c r="AL18" s="11">
        <v>1</v>
      </c>
      <c r="AM18" s="9">
        <v>1</v>
      </c>
      <c r="AN18" s="9">
        <v>0</v>
      </c>
      <c r="AO18" s="9" t="s">
        <v>59</v>
      </c>
      <c r="AP18" s="9" t="s">
        <v>59</v>
      </c>
      <c r="AQ18" s="9" t="s">
        <v>59</v>
      </c>
    </row>
    <row r="19" spans="1:155" s="9" customFormat="1" ht="13.75" customHeight="1">
      <c r="A19" s="10" t="s">
        <v>184</v>
      </c>
      <c r="B19" s="10" t="s">
        <v>185</v>
      </c>
      <c r="C19" s="10" t="s">
        <v>143</v>
      </c>
      <c r="D19" s="16"/>
      <c r="E19" s="10" t="s">
        <v>186</v>
      </c>
      <c r="F19" s="15">
        <v>2025</v>
      </c>
      <c r="G19" s="10" t="s">
        <v>187</v>
      </c>
      <c r="H19" s="8" t="s">
        <v>117</v>
      </c>
      <c r="I19" s="8" t="s">
        <v>188</v>
      </c>
      <c r="J19" s="9">
        <v>1</v>
      </c>
      <c r="K19" s="9">
        <v>0</v>
      </c>
      <c r="L19" s="9">
        <v>1</v>
      </c>
      <c r="M19" s="11">
        <v>0</v>
      </c>
      <c r="N19" s="11">
        <v>1</v>
      </c>
      <c r="O19" s="11">
        <v>0</v>
      </c>
      <c r="P19" s="11">
        <v>1</v>
      </c>
      <c r="Q19" s="11">
        <v>1</v>
      </c>
      <c r="R19" s="9">
        <v>1</v>
      </c>
      <c r="S19" s="9">
        <v>1</v>
      </c>
      <c r="T19" s="13">
        <v>0</v>
      </c>
      <c r="U19" s="13">
        <v>0</v>
      </c>
      <c r="V19" s="13">
        <v>0</v>
      </c>
      <c r="W19" s="13">
        <v>0</v>
      </c>
      <c r="X19" s="13">
        <v>0</v>
      </c>
      <c r="Y19" s="13">
        <v>0</v>
      </c>
      <c r="Z19" s="13">
        <v>0</v>
      </c>
      <c r="AA19" s="13">
        <v>0</v>
      </c>
      <c r="AB19" s="13">
        <v>1</v>
      </c>
      <c r="AC19" s="13">
        <v>0</v>
      </c>
      <c r="AD19" s="13">
        <v>0</v>
      </c>
      <c r="AE19" s="13">
        <v>0</v>
      </c>
      <c r="AF19" s="12" t="s">
        <v>59</v>
      </c>
      <c r="AG19" s="12" t="s">
        <v>59</v>
      </c>
      <c r="AH19" s="12" t="s">
        <v>59</v>
      </c>
      <c r="AI19" s="12" t="s">
        <v>59</v>
      </c>
      <c r="AJ19" s="12">
        <v>0</v>
      </c>
      <c r="AK19" s="12">
        <v>0</v>
      </c>
      <c r="AL19" s="11">
        <v>0</v>
      </c>
      <c r="AM19" s="9">
        <v>1</v>
      </c>
      <c r="AN19" s="9">
        <v>0</v>
      </c>
      <c r="AO19" s="9" t="s">
        <v>59</v>
      </c>
      <c r="AP19" s="9" t="s">
        <v>59</v>
      </c>
      <c r="AQ19" s="9" t="s">
        <v>59</v>
      </c>
    </row>
    <row r="20" spans="1:155" s="9" customFormat="1" ht="13.75" customHeight="1">
      <c r="A20" s="10" t="s">
        <v>189</v>
      </c>
      <c r="B20" s="10" t="s">
        <v>190</v>
      </c>
      <c r="C20" s="10" t="s">
        <v>191</v>
      </c>
      <c r="D20" s="10" t="s">
        <v>192</v>
      </c>
      <c r="E20" s="10" t="s">
        <v>193</v>
      </c>
      <c r="F20" s="16">
        <v>2025</v>
      </c>
      <c r="G20" s="10" t="str">
        <f>HYPERLINK("http://dx.doi.org/10.1002/em.70002","http://dx.doi.org/10.1002/em.70002")</f>
        <v>http://dx.doi.org/10.1002/em.70002</v>
      </c>
      <c r="H20" s="8" t="s">
        <v>194</v>
      </c>
      <c r="I20" s="8" t="s">
        <v>195</v>
      </c>
      <c r="J20" s="7">
        <v>1</v>
      </c>
      <c r="K20" s="7">
        <v>0</v>
      </c>
      <c r="L20" s="7">
        <v>1</v>
      </c>
      <c r="M20" s="7">
        <v>1</v>
      </c>
      <c r="N20" s="7">
        <v>0</v>
      </c>
      <c r="O20" s="7">
        <v>0</v>
      </c>
      <c r="P20" s="7">
        <v>1</v>
      </c>
      <c r="Q20" s="7">
        <v>1</v>
      </c>
      <c r="R20" s="7">
        <v>0</v>
      </c>
      <c r="S20" s="7">
        <v>0</v>
      </c>
      <c r="T20" s="13" t="s">
        <v>59</v>
      </c>
      <c r="U20" s="13" t="s">
        <v>59</v>
      </c>
      <c r="V20" s="13" t="s">
        <v>59</v>
      </c>
      <c r="W20" s="13" t="s">
        <v>59</v>
      </c>
      <c r="X20" s="13" t="s">
        <v>59</v>
      </c>
      <c r="Y20" s="13" t="s">
        <v>59</v>
      </c>
      <c r="Z20" s="13" t="s">
        <v>59</v>
      </c>
      <c r="AA20" s="13" t="s">
        <v>59</v>
      </c>
      <c r="AB20" s="13" t="s">
        <v>59</v>
      </c>
      <c r="AC20" s="13" t="s">
        <v>59</v>
      </c>
      <c r="AD20" s="13" t="s">
        <v>59</v>
      </c>
      <c r="AE20" s="13">
        <v>0</v>
      </c>
      <c r="AF20" s="13">
        <v>0</v>
      </c>
      <c r="AG20" s="7">
        <v>1</v>
      </c>
      <c r="AH20" s="7">
        <v>0</v>
      </c>
      <c r="AI20" s="13">
        <v>1</v>
      </c>
      <c r="AJ20" s="13">
        <v>0</v>
      </c>
      <c r="AK20" s="13">
        <v>0</v>
      </c>
      <c r="AL20" s="13">
        <v>1</v>
      </c>
      <c r="AM20" s="7">
        <v>1</v>
      </c>
      <c r="AN20" s="7">
        <v>0</v>
      </c>
      <c r="AO20" s="7" t="s">
        <v>59</v>
      </c>
      <c r="AP20" s="7" t="s">
        <v>59</v>
      </c>
      <c r="AQ20" s="7" t="s">
        <v>59</v>
      </c>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row>
    <row r="21" spans="1:155" s="9" customFormat="1" ht="13.75" customHeight="1">
      <c r="A21" s="10" t="s">
        <v>199</v>
      </c>
      <c r="B21" s="10" t="s">
        <v>200</v>
      </c>
      <c r="C21" s="10" t="s">
        <v>201</v>
      </c>
      <c r="D21" s="10" t="s">
        <v>202</v>
      </c>
      <c r="E21" s="10" t="s">
        <v>203</v>
      </c>
      <c r="F21" s="15">
        <v>2024</v>
      </c>
      <c r="G21" s="10" t="s">
        <v>204</v>
      </c>
      <c r="H21" s="8" t="s">
        <v>205</v>
      </c>
      <c r="I21" s="8" t="s">
        <v>206</v>
      </c>
      <c r="J21" s="9">
        <v>1</v>
      </c>
      <c r="K21" s="9">
        <v>0</v>
      </c>
      <c r="L21" s="9">
        <v>1</v>
      </c>
      <c r="M21" s="9">
        <v>1</v>
      </c>
      <c r="N21" s="9">
        <v>1</v>
      </c>
      <c r="O21" s="9">
        <v>1</v>
      </c>
      <c r="P21" s="9">
        <v>0</v>
      </c>
      <c r="Q21" s="9" t="s">
        <v>59</v>
      </c>
      <c r="R21" s="9" t="s">
        <v>59</v>
      </c>
      <c r="S21" s="9" t="s">
        <v>59</v>
      </c>
      <c r="T21" s="9">
        <v>0</v>
      </c>
      <c r="U21" s="9">
        <v>0</v>
      </c>
      <c r="V21" s="9">
        <v>0</v>
      </c>
      <c r="W21" s="9">
        <v>0</v>
      </c>
      <c r="X21" s="9">
        <v>0</v>
      </c>
      <c r="Y21" s="9">
        <v>0</v>
      </c>
      <c r="Z21" s="9">
        <v>1</v>
      </c>
      <c r="AA21" s="9">
        <v>1</v>
      </c>
      <c r="AB21" s="9">
        <v>0</v>
      </c>
      <c r="AC21" s="9">
        <v>0</v>
      </c>
      <c r="AD21" s="9">
        <v>0</v>
      </c>
      <c r="AE21" s="9">
        <v>0</v>
      </c>
      <c r="AF21" s="9">
        <v>1</v>
      </c>
      <c r="AG21" s="9">
        <v>0</v>
      </c>
      <c r="AH21" s="9">
        <v>0</v>
      </c>
      <c r="AI21" s="9">
        <v>0</v>
      </c>
      <c r="AJ21" s="9">
        <v>1</v>
      </c>
      <c r="AK21" s="9">
        <v>0</v>
      </c>
      <c r="AL21" s="9">
        <v>1</v>
      </c>
      <c r="AM21" s="9">
        <v>1</v>
      </c>
      <c r="AN21" s="9">
        <v>0</v>
      </c>
      <c r="AO21" s="9" t="s">
        <v>59</v>
      </c>
      <c r="AP21" s="9" t="s">
        <v>59</v>
      </c>
      <c r="AQ21" s="9" t="s">
        <v>59</v>
      </c>
    </row>
    <row r="22" spans="1:155" s="9" customFormat="1" ht="13.75" customHeight="1">
      <c r="A22" s="10" t="s">
        <v>207</v>
      </c>
      <c r="B22" s="10" t="s">
        <v>208</v>
      </c>
      <c r="C22" s="10" t="s">
        <v>209</v>
      </c>
      <c r="D22" s="10" t="s">
        <v>210</v>
      </c>
      <c r="E22" s="10" t="s">
        <v>211</v>
      </c>
      <c r="F22" s="15">
        <v>2024</v>
      </c>
      <c r="G22" s="10" t="s">
        <v>212</v>
      </c>
      <c r="H22" s="8" t="s">
        <v>82</v>
      </c>
      <c r="I22" s="8" t="s">
        <v>213</v>
      </c>
      <c r="J22" s="9">
        <v>1</v>
      </c>
      <c r="K22" s="9">
        <v>0</v>
      </c>
      <c r="L22" s="9">
        <v>0</v>
      </c>
      <c r="M22" s="11">
        <v>1</v>
      </c>
      <c r="N22" s="11">
        <v>1</v>
      </c>
      <c r="O22" s="11">
        <v>0</v>
      </c>
      <c r="P22" s="11">
        <v>0</v>
      </c>
      <c r="Q22" s="11">
        <v>1</v>
      </c>
      <c r="R22" s="11">
        <v>0</v>
      </c>
      <c r="S22" s="11">
        <v>1</v>
      </c>
      <c r="T22" s="9" t="s">
        <v>59</v>
      </c>
      <c r="U22" s="9" t="s">
        <v>59</v>
      </c>
      <c r="V22" s="9" t="s">
        <v>59</v>
      </c>
      <c r="W22" s="9" t="s">
        <v>59</v>
      </c>
      <c r="X22" s="9" t="s">
        <v>59</v>
      </c>
      <c r="Y22" s="9" t="s">
        <v>59</v>
      </c>
      <c r="Z22" s="9" t="s">
        <v>59</v>
      </c>
      <c r="AA22" s="9" t="s">
        <v>59</v>
      </c>
      <c r="AB22" s="9" t="s">
        <v>59</v>
      </c>
      <c r="AC22" s="9" t="s">
        <v>59</v>
      </c>
      <c r="AD22" s="9" t="s">
        <v>59</v>
      </c>
      <c r="AE22" s="9">
        <v>1</v>
      </c>
      <c r="AF22" s="9" t="s">
        <v>59</v>
      </c>
      <c r="AG22" s="9" t="s">
        <v>59</v>
      </c>
      <c r="AH22" s="9" t="s">
        <v>59</v>
      </c>
      <c r="AI22" s="9" t="s">
        <v>59</v>
      </c>
      <c r="AJ22" s="9">
        <v>0</v>
      </c>
      <c r="AK22" s="9">
        <v>0</v>
      </c>
      <c r="AL22" s="9">
        <v>1</v>
      </c>
      <c r="AM22" s="9">
        <v>1</v>
      </c>
      <c r="AN22" s="9">
        <v>0</v>
      </c>
      <c r="AO22" s="9" t="s">
        <v>59</v>
      </c>
      <c r="AP22" s="9" t="s">
        <v>59</v>
      </c>
      <c r="AQ22" s="9" t="s">
        <v>59</v>
      </c>
    </row>
    <row r="23" spans="1:155" s="9" customFormat="1" ht="13.75" customHeight="1">
      <c r="A23" s="10" t="s">
        <v>214</v>
      </c>
      <c r="B23" s="10" t="s">
        <v>215</v>
      </c>
      <c r="C23" s="10" t="s">
        <v>196</v>
      </c>
      <c r="D23" s="10" t="s">
        <v>216</v>
      </c>
      <c r="E23" s="10" t="s">
        <v>217</v>
      </c>
      <c r="F23" s="15">
        <v>2024</v>
      </c>
      <c r="G23" s="10" t="s">
        <v>218</v>
      </c>
      <c r="H23" s="8" t="s">
        <v>124</v>
      </c>
      <c r="I23" s="8" t="s">
        <v>219</v>
      </c>
      <c r="J23" s="9">
        <v>1</v>
      </c>
      <c r="K23" s="9">
        <v>0</v>
      </c>
      <c r="L23" s="9">
        <v>1</v>
      </c>
      <c r="M23" s="11">
        <v>1</v>
      </c>
      <c r="N23" s="9">
        <v>1</v>
      </c>
      <c r="O23" s="11">
        <v>0</v>
      </c>
      <c r="P23" s="11">
        <v>0</v>
      </c>
      <c r="Q23" s="9" t="s">
        <v>59</v>
      </c>
      <c r="R23" s="9" t="s">
        <v>59</v>
      </c>
      <c r="S23" s="9" t="s">
        <v>59</v>
      </c>
      <c r="T23" s="9">
        <v>0</v>
      </c>
      <c r="U23" s="9">
        <v>0</v>
      </c>
      <c r="V23" s="9">
        <v>0</v>
      </c>
      <c r="W23" s="9">
        <v>0</v>
      </c>
      <c r="X23" s="9">
        <v>0</v>
      </c>
      <c r="Y23" s="9">
        <v>0</v>
      </c>
      <c r="Z23" s="9">
        <v>0</v>
      </c>
      <c r="AA23" s="9">
        <v>0</v>
      </c>
      <c r="AB23" s="9">
        <v>1</v>
      </c>
      <c r="AC23" s="9">
        <v>0</v>
      </c>
      <c r="AD23" s="9">
        <v>0</v>
      </c>
      <c r="AE23" s="9">
        <v>0</v>
      </c>
      <c r="AF23" s="9" t="s">
        <v>59</v>
      </c>
      <c r="AG23" s="9" t="s">
        <v>59</v>
      </c>
      <c r="AH23" s="9" t="s">
        <v>59</v>
      </c>
      <c r="AI23" s="9" t="s">
        <v>59</v>
      </c>
      <c r="AJ23" s="9">
        <v>0</v>
      </c>
      <c r="AK23" s="9">
        <v>0</v>
      </c>
      <c r="AL23" s="9">
        <v>1</v>
      </c>
      <c r="AM23" s="9">
        <v>1</v>
      </c>
      <c r="AN23" s="9">
        <v>0</v>
      </c>
      <c r="AO23" s="9" t="s">
        <v>59</v>
      </c>
      <c r="AP23" s="9" t="s">
        <v>59</v>
      </c>
      <c r="AQ23" s="9" t="s">
        <v>59</v>
      </c>
    </row>
    <row r="24" spans="1:155" s="9" customFormat="1" ht="13.75" customHeight="1">
      <c r="A24" s="10" t="s">
        <v>220</v>
      </c>
      <c r="B24" s="10" t="s">
        <v>221</v>
      </c>
      <c r="C24" s="10" t="s">
        <v>53</v>
      </c>
      <c r="D24" s="10" t="s">
        <v>222</v>
      </c>
      <c r="E24" s="10" t="s">
        <v>223</v>
      </c>
      <c r="F24" s="15">
        <v>2024</v>
      </c>
      <c r="G24" s="10" t="s">
        <v>224</v>
      </c>
      <c r="H24" s="8" t="s">
        <v>57</v>
      </c>
      <c r="I24" s="8" t="s">
        <v>225</v>
      </c>
      <c r="J24" s="9">
        <v>1</v>
      </c>
      <c r="K24" s="9">
        <v>0</v>
      </c>
      <c r="L24" s="9">
        <v>1</v>
      </c>
      <c r="M24" s="11">
        <v>1</v>
      </c>
      <c r="N24" s="9">
        <v>1</v>
      </c>
      <c r="O24" s="11">
        <v>0</v>
      </c>
      <c r="P24" s="11">
        <v>0</v>
      </c>
      <c r="Q24" s="11">
        <v>1</v>
      </c>
      <c r="R24" s="11">
        <v>0</v>
      </c>
      <c r="S24" s="11">
        <v>1</v>
      </c>
      <c r="T24" s="9">
        <v>0</v>
      </c>
      <c r="U24" s="9">
        <v>0</v>
      </c>
      <c r="V24" s="9">
        <v>0</v>
      </c>
      <c r="W24" s="9">
        <v>0</v>
      </c>
      <c r="X24" s="9">
        <v>0</v>
      </c>
      <c r="Y24" s="9">
        <v>0</v>
      </c>
      <c r="Z24" s="9">
        <v>0</v>
      </c>
      <c r="AA24" s="9">
        <v>0</v>
      </c>
      <c r="AB24" s="9">
        <v>0</v>
      </c>
      <c r="AC24" s="9">
        <v>0</v>
      </c>
      <c r="AD24" s="9">
        <v>0</v>
      </c>
      <c r="AE24" s="9">
        <v>1</v>
      </c>
      <c r="AF24" s="9" t="s">
        <v>59</v>
      </c>
      <c r="AG24" s="9" t="s">
        <v>59</v>
      </c>
      <c r="AH24" s="9" t="s">
        <v>59</v>
      </c>
      <c r="AI24" s="9" t="s">
        <v>59</v>
      </c>
      <c r="AJ24" s="9">
        <v>0</v>
      </c>
      <c r="AK24" s="9">
        <v>0</v>
      </c>
      <c r="AL24" s="9">
        <v>1</v>
      </c>
      <c r="AM24" s="9">
        <v>1</v>
      </c>
      <c r="AN24" s="9">
        <v>0</v>
      </c>
      <c r="AO24" s="9" t="s">
        <v>59</v>
      </c>
      <c r="AP24" s="9" t="s">
        <v>59</v>
      </c>
      <c r="AQ24" s="9" t="s">
        <v>59</v>
      </c>
    </row>
    <row r="25" spans="1:155" s="9" customFormat="1" ht="13.75" customHeight="1">
      <c r="A25" s="10" t="s">
        <v>226</v>
      </c>
      <c r="B25" s="10" t="s">
        <v>227</v>
      </c>
      <c r="C25" s="10" t="s">
        <v>228</v>
      </c>
      <c r="D25" s="10" t="s">
        <v>229</v>
      </c>
      <c r="E25" s="10" t="s">
        <v>230</v>
      </c>
      <c r="F25" s="15">
        <v>2024</v>
      </c>
      <c r="G25" s="10" t="s">
        <v>231</v>
      </c>
      <c r="H25" s="8" t="s">
        <v>105</v>
      </c>
      <c r="I25" s="8" t="s">
        <v>232</v>
      </c>
      <c r="J25" s="9">
        <v>1</v>
      </c>
      <c r="K25" s="9">
        <v>0</v>
      </c>
      <c r="L25" s="9">
        <v>1</v>
      </c>
      <c r="M25" s="9">
        <v>1</v>
      </c>
      <c r="N25" s="9">
        <v>1</v>
      </c>
      <c r="O25" s="11">
        <v>0</v>
      </c>
      <c r="P25" s="11">
        <v>0</v>
      </c>
      <c r="Q25" s="9">
        <v>1</v>
      </c>
      <c r="R25" s="9">
        <v>0</v>
      </c>
      <c r="S25" s="9">
        <v>1</v>
      </c>
      <c r="T25" s="9">
        <v>0</v>
      </c>
      <c r="U25" s="9">
        <v>0</v>
      </c>
      <c r="V25" s="9">
        <v>0</v>
      </c>
      <c r="W25" s="9">
        <v>0</v>
      </c>
      <c r="X25" s="9">
        <v>0</v>
      </c>
      <c r="Y25" s="9">
        <v>0</v>
      </c>
      <c r="Z25" s="9">
        <v>0</v>
      </c>
      <c r="AA25" s="9">
        <v>0</v>
      </c>
      <c r="AB25" s="9">
        <v>1</v>
      </c>
      <c r="AC25" s="9">
        <v>0</v>
      </c>
      <c r="AD25" s="9">
        <v>0</v>
      </c>
      <c r="AE25" s="9">
        <v>1</v>
      </c>
      <c r="AF25" s="9" t="s">
        <v>59</v>
      </c>
      <c r="AG25" s="9" t="s">
        <v>59</v>
      </c>
      <c r="AH25" s="9" t="s">
        <v>59</v>
      </c>
      <c r="AI25" s="9" t="s">
        <v>59</v>
      </c>
      <c r="AJ25" s="9">
        <v>0</v>
      </c>
      <c r="AK25" s="9">
        <v>0</v>
      </c>
      <c r="AL25" s="9">
        <v>1</v>
      </c>
      <c r="AM25" s="9">
        <v>1</v>
      </c>
      <c r="AN25" s="9">
        <v>0</v>
      </c>
      <c r="AO25" s="9" t="s">
        <v>59</v>
      </c>
      <c r="AP25" s="9" t="s">
        <v>59</v>
      </c>
      <c r="AQ25" s="9" t="s">
        <v>59</v>
      </c>
    </row>
    <row r="26" spans="1:155" s="9" customFormat="1" ht="13.75" customHeight="1">
      <c r="A26" s="10" t="s">
        <v>233</v>
      </c>
      <c r="B26" s="10" t="s">
        <v>234</v>
      </c>
      <c r="C26" s="10" t="s">
        <v>235</v>
      </c>
      <c r="D26" s="10" t="s">
        <v>236</v>
      </c>
      <c r="E26" s="10" t="s">
        <v>237</v>
      </c>
      <c r="F26" s="15">
        <v>2024</v>
      </c>
      <c r="G26" s="10" t="s">
        <v>238</v>
      </c>
      <c r="H26" s="8" t="s">
        <v>159</v>
      </c>
      <c r="I26" s="8" t="s">
        <v>239</v>
      </c>
      <c r="J26" s="9">
        <v>1</v>
      </c>
      <c r="K26" s="9">
        <v>0</v>
      </c>
      <c r="L26" s="9" t="s">
        <v>59</v>
      </c>
      <c r="M26" s="9" t="s">
        <v>59</v>
      </c>
      <c r="N26" s="9">
        <v>1</v>
      </c>
      <c r="O26" s="9">
        <v>0</v>
      </c>
      <c r="P26" s="9">
        <v>0</v>
      </c>
      <c r="Q26" s="9" t="s">
        <v>59</v>
      </c>
      <c r="R26" s="9" t="s">
        <v>59</v>
      </c>
      <c r="S26" s="9" t="s">
        <v>59</v>
      </c>
      <c r="T26" s="9">
        <v>0</v>
      </c>
      <c r="U26" s="9">
        <v>1</v>
      </c>
      <c r="V26" s="9">
        <v>0</v>
      </c>
      <c r="W26" s="9">
        <v>1</v>
      </c>
      <c r="X26" s="9">
        <v>0</v>
      </c>
      <c r="Y26" s="9">
        <v>0</v>
      </c>
      <c r="Z26" s="9">
        <v>0</v>
      </c>
      <c r="AA26" s="9">
        <v>1</v>
      </c>
      <c r="AB26" s="9">
        <v>1</v>
      </c>
      <c r="AC26" s="9">
        <v>0</v>
      </c>
      <c r="AD26" s="9">
        <v>0</v>
      </c>
      <c r="AE26" s="9">
        <v>1</v>
      </c>
      <c r="AF26" s="9">
        <v>0</v>
      </c>
      <c r="AG26" s="9">
        <v>1</v>
      </c>
      <c r="AH26" s="9">
        <v>1</v>
      </c>
      <c r="AI26" s="9">
        <v>0</v>
      </c>
      <c r="AJ26" s="9">
        <v>0</v>
      </c>
      <c r="AK26" s="9">
        <v>0</v>
      </c>
      <c r="AL26" s="9">
        <v>1</v>
      </c>
      <c r="AM26" s="9">
        <v>1</v>
      </c>
      <c r="AN26" s="9">
        <v>0</v>
      </c>
      <c r="AO26" s="9" t="s">
        <v>59</v>
      </c>
      <c r="AP26" s="9" t="s">
        <v>59</v>
      </c>
      <c r="AQ26" s="9" t="s">
        <v>59</v>
      </c>
    </row>
    <row r="27" spans="1:155" s="9" customFormat="1" ht="13.75" customHeight="1">
      <c r="A27" s="10" t="s">
        <v>240</v>
      </c>
      <c r="B27" s="10" t="s">
        <v>241</v>
      </c>
      <c r="C27" s="10" t="s">
        <v>242</v>
      </c>
      <c r="D27" s="10" t="s">
        <v>243</v>
      </c>
      <c r="E27" s="10" t="s">
        <v>244</v>
      </c>
      <c r="F27" s="15">
        <v>2024</v>
      </c>
      <c r="G27" s="10" t="s">
        <v>245</v>
      </c>
      <c r="H27" s="8" t="s">
        <v>246</v>
      </c>
      <c r="I27" s="8" t="s">
        <v>247</v>
      </c>
      <c r="J27" s="9">
        <v>1</v>
      </c>
      <c r="K27" s="9">
        <v>0</v>
      </c>
      <c r="L27" s="9">
        <v>0</v>
      </c>
      <c r="M27" s="9">
        <v>1</v>
      </c>
      <c r="N27" s="9">
        <v>1</v>
      </c>
      <c r="O27" s="11">
        <v>1</v>
      </c>
      <c r="P27" s="11">
        <v>1</v>
      </c>
      <c r="Q27" s="11">
        <v>0</v>
      </c>
      <c r="R27" s="11">
        <v>0</v>
      </c>
      <c r="S27" s="11">
        <v>1</v>
      </c>
      <c r="T27" s="11">
        <v>0</v>
      </c>
      <c r="U27" s="11">
        <v>0</v>
      </c>
      <c r="V27" s="11">
        <v>0</v>
      </c>
      <c r="W27" s="11">
        <v>0</v>
      </c>
      <c r="X27" s="11">
        <v>0</v>
      </c>
      <c r="Y27" s="11">
        <v>0</v>
      </c>
      <c r="Z27" s="11">
        <v>0</v>
      </c>
      <c r="AA27" s="11">
        <v>0</v>
      </c>
      <c r="AB27" s="11">
        <v>1</v>
      </c>
      <c r="AC27" s="11">
        <v>0</v>
      </c>
      <c r="AD27" s="11">
        <v>0</v>
      </c>
      <c r="AE27" s="11">
        <v>0</v>
      </c>
      <c r="AF27" s="9" t="s">
        <v>59</v>
      </c>
      <c r="AG27" s="9" t="s">
        <v>59</v>
      </c>
      <c r="AH27" s="9" t="s">
        <v>59</v>
      </c>
      <c r="AI27" s="9" t="s">
        <v>59</v>
      </c>
      <c r="AJ27" s="9">
        <v>0</v>
      </c>
      <c r="AK27" s="9">
        <v>0</v>
      </c>
      <c r="AL27" s="9">
        <v>1</v>
      </c>
      <c r="AM27" s="9">
        <v>1</v>
      </c>
      <c r="AN27" s="9">
        <v>0</v>
      </c>
      <c r="AO27" s="9" t="s">
        <v>59</v>
      </c>
      <c r="AP27" s="9" t="s">
        <v>59</v>
      </c>
      <c r="AQ27" s="9" t="s">
        <v>59</v>
      </c>
    </row>
    <row r="28" spans="1:155" s="9" customFormat="1" ht="13.75" customHeight="1">
      <c r="A28" s="10" t="s">
        <v>248</v>
      </c>
      <c r="B28" s="10" t="s">
        <v>249</v>
      </c>
      <c r="C28" s="10" t="s">
        <v>147</v>
      </c>
      <c r="D28" s="16"/>
      <c r="E28" s="10" t="s">
        <v>250</v>
      </c>
      <c r="F28" s="15">
        <v>2024</v>
      </c>
      <c r="G28" s="10" t="s">
        <v>251</v>
      </c>
      <c r="H28" s="8" t="s">
        <v>150</v>
      </c>
      <c r="I28" s="8" t="s">
        <v>252</v>
      </c>
      <c r="J28" s="9">
        <v>1</v>
      </c>
      <c r="K28" s="9">
        <v>0</v>
      </c>
      <c r="L28" s="9">
        <v>0</v>
      </c>
      <c r="M28" s="9">
        <v>1</v>
      </c>
      <c r="N28" s="9">
        <v>1</v>
      </c>
      <c r="O28" s="9">
        <v>0</v>
      </c>
      <c r="P28" s="9">
        <v>0</v>
      </c>
      <c r="Q28" s="9" t="s">
        <v>59</v>
      </c>
      <c r="R28" s="9" t="s">
        <v>59</v>
      </c>
      <c r="S28" s="9" t="s">
        <v>59</v>
      </c>
      <c r="T28" s="9">
        <v>0</v>
      </c>
      <c r="U28" s="9">
        <v>0</v>
      </c>
      <c r="V28" s="9">
        <v>0</v>
      </c>
      <c r="W28" s="9">
        <v>0</v>
      </c>
      <c r="X28" s="9">
        <v>0</v>
      </c>
      <c r="Y28" s="9">
        <v>0</v>
      </c>
      <c r="Z28" s="9">
        <v>0</v>
      </c>
      <c r="AA28" s="9">
        <v>0</v>
      </c>
      <c r="AB28" s="9">
        <v>0</v>
      </c>
      <c r="AC28" s="9">
        <v>0</v>
      </c>
      <c r="AD28" s="9">
        <v>0</v>
      </c>
      <c r="AE28" s="9">
        <v>1</v>
      </c>
      <c r="AF28" s="9">
        <v>0</v>
      </c>
      <c r="AG28" s="9">
        <v>0</v>
      </c>
      <c r="AH28" s="9">
        <v>0</v>
      </c>
      <c r="AI28" s="9">
        <v>0</v>
      </c>
      <c r="AJ28" s="9">
        <v>0</v>
      </c>
      <c r="AK28" s="9">
        <v>0</v>
      </c>
      <c r="AL28" s="9">
        <v>0</v>
      </c>
      <c r="AM28" s="9">
        <v>1</v>
      </c>
      <c r="AN28" s="9">
        <v>0</v>
      </c>
      <c r="AO28" s="9" t="s">
        <v>59</v>
      </c>
      <c r="AP28" s="9" t="s">
        <v>59</v>
      </c>
      <c r="AQ28" s="9" t="s">
        <v>59</v>
      </c>
    </row>
    <row r="29" spans="1:155" s="9" customFormat="1" ht="13.75" customHeight="1">
      <c r="A29" s="10" t="s">
        <v>253</v>
      </c>
      <c r="B29" s="10" t="s">
        <v>254</v>
      </c>
      <c r="C29" s="10" t="s">
        <v>255</v>
      </c>
      <c r="D29" s="10" t="s">
        <v>256</v>
      </c>
      <c r="E29" s="10" t="s">
        <v>257</v>
      </c>
      <c r="F29" s="15">
        <v>2024</v>
      </c>
      <c r="G29" s="10" t="str">
        <f>HYPERLINK("http://dx.doi.org/10.1021/acs.estlett.3c00923","http://dx.doi.org/10.1021/acs.estlett.3c00923")</f>
        <v>http://dx.doi.org/10.1021/acs.estlett.3c00923</v>
      </c>
      <c r="H29" s="8" t="s">
        <v>57</v>
      </c>
      <c r="I29" s="8" t="s">
        <v>258</v>
      </c>
      <c r="J29" s="9">
        <v>1</v>
      </c>
      <c r="K29" s="9">
        <v>0</v>
      </c>
      <c r="L29" s="9">
        <v>1</v>
      </c>
      <c r="M29" s="9">
        <v>0</v>
      </c>
      <c r="N29" s="9" t="s">
        <v>59</v>
      </c>
      <c r="O29" s="9" t="s">
        <v>59</v>
      </c>
      <c r="P29" s="9" t="s">
        <v>59</v>
      </c>
      <c r="Q29" s="9">
        <v>1</v>
      </c>
      <c r="R29" s="9">
        <v>0</v>
      </c>
      <c r="S29" s="9">
        <v>0</v>
      </c>
      <c r="T29" s="9">
        <v>0</v>
      </c>
      <c r="U29" s="9">
        <v>0</v>
      </c>
      <c r="V29" s="9">
        <v>0</v>
      </c>
      <c r="W29" s="9">
        <v>0</v>
      </c>
      <c r="X29" s="9">
        <v>0</v>
      </c>
      <c r="Y29" s="9">
        <v>0</v>
      </c>
      <c r="Z29" s="9">
        <v>0</v>
      </c>
      <c r="AA29" s="9">
        <v>0</v>
      </c>
      <c r="AB29" s="9">
        <v>0</v>
      </c>
      <c r="AC29" s="9">
        <v>0</v>
      </c>
      <c r="AD29" s="9">
        <v>0</v>
      </c>
      <c r="AE29" s="9">
        <v>1</v>
      </c>
      <c r="AF29" s="9">
        <v>0</v>
      </c>
      <c r="AG29" s="9">
        <v>1</v>
      </c>
      <c r="AH29" s="9">
        <v>0</v>
      </c>
      <c r="AI29" s="9">
        <v>0</v>
      </c>
      <c r="AJ29" s="9">
        <v>0</v>
      </c>
      <c r="AK29" s="9">
        <v>0</v>
      </c>
      <c r="AL29" s="9">
        <v>1</v>
      </c>
      <c r="AM29" s="9">
        <v>1</v>
      </c>
      <c r="AN29" s="9">
        <v>0</v>
      </c>
      <c r="AO29" s="9" t="s">
        <v>59</v>
      </c>
      <c r="AP29" s="9" t="s">
        <v>59</v>
      </c>
      <c r="AQ29" s="9" t="s">
        <v>59</v>
      </c>
    </row>
    <row r="30" spans="1:155" s="9" customFormat="1" ht="13.75" customHeight="1">
      <c r="A30" s="10" t="s">
        <v>259</v>
      </c>
      <c r="B30" s="10" t="s">
        <v>260</v>
      </c>
      <c r="C30" s="10" t="s">
        <v>261</v>
      </c>
      <c r="D30" s="10" t="s">
        <v>262</v>
      </c>
      <c r="E30" s="16"/>
      <c r="F30" s="15">
        <v>2024</v>
      </c>
      <c r="G30" s="10" t="s">
        <v>263</v>
      </c>
      <c r="H30" s="8" t="s">
        <v>75</v>
      </c>
      <c r="I30" s="8" t="s">
        <v>264</v>
      </c>
      <c r="J30" s="9">
        <v>1</v>
      </c>
      <c r="K30" s="9">
        <v>0</v>
      </c>
      <c r="L30" s="9">
        <v>0</v>
      </c>
      <c r="M30" s="9">
        <v>1</v>
      </c>
      <c r="N30" s="9">
        <v>1</v>
      </c>
      <c r="O30" s="9">
        <v>1</v>
      </c>
      <c r="P30" s="9">
        <v>0</v>
      </c>
      <c r="Q30" s="9">
        <v>1</v>
      </c>
      <c r="R30" s="9">
        <v>0</v>
      </c>
      <c r="S30" s="9">
        <v>1</v>
      </c>
      <c r="T30" s="9">
        <v>0</v>
      </c>
      <c r="U30" s="9">
        <v>0</v>
      </c>
      <c r="V30" s="9">
        <v>0</v>
      </c>
      <c r="W30" s="9">
        <v>0</v>
      </c>
      <c r="X30" s="9">
        <v>0</v>
      </c>
      <c r="Y30" s="9">
        <v>0</v>
      </c>
      <c r="Z30" s="9">
        <v>0</v>
      </c>
      <c r="AA30" s="9">
        <v>0</v>
      </c>
      <c r="AB30" s="9">
        <v>1</v>
      </c>
      <c r="AC30" s="9">
        <v>0</v>
      </c>
      <c r="AD30" s="9">
        <v>0</v>
      </c>
      <c r="AE30" s="9">
        <v>0</v>
      </c>
      <c r="AF30" s="9">
        <v>1</v>
      </c>
      <c r="AG30" s="9">
        <v>1</v>
      </c>
      <c r="AH30" s="9">
        <v>1</v>
      </c>
      <c r="AI30" s="9">
        <v>0</v>
      </c>
      <c r="AJ30" s="9">
        <v>0</v>
      </c>
      <c r="AK30" s="9">
        <v>0</v>
      </c>
      <c r="AL30" s="9">
        <v>1</v>
      </c>
      <c r="AM30" s="9">
        <v>1</v>
      </c>
      <c r="AN30" s="9">
        <v>0</v>
      </c>
      <c r="AO30" s="9" t="s">
        <v>59</v>
      </c>
      <c r="AP30" s="9" t="s">
        <v>59</v>
      </c>
      <c r="AQ30" s="9" t="s">
        <v>59</v>
      </c>
    </row>
    <row r="31" spans="1:155" s="9" customFormat="1" ht="13.75" customHeight="1">
      <c r="A31" s="10" t="s">
        <v>266</v>
      </c>
      <c r="B31" s="10" t="s">
        <v>267</v>
      </c>
      <c r="C31" s="10" t="s">
        <v>120</v>
      </c>
      <c r="D31" s="10" t="s">
        <v>268</v>
      </c>
      <c r="E31" s="10" t="s">
        <v>269</v>
      </c>
      <c r="F31" s="15">
        <v>2024</v>
      </c>
      <c r="G31" s="10" t="s">
        <v>270</v>
      </c>
      <c r="H31" s="8" t="s">
        <v>124</v>
      </c>
      <c r="I31" s="8" t="s">
        <v>271</v>
      </c>
      <c r="J31" s="9">
        <v>1</v>
      </c>
      <c r="K31" s="9">
        <v>0</v>
      </c>
      <c r="L31" s="9">
        <v>0</v>
      </c>
      <c r="M31" s="9">
        <v>1</v>
      </c>
      <c r="N31" s="9">
        <v>1</v>
      </c>
      <c r="O31" s="9">
        <v>0</v>
      </c>
      <c r="P31" s="9">
        <v>0</v>
      </c>
      <c r="Q31" s="9" t="s">
        <v>59</v>
      </c>
      <c r="R31" s="9" t="s">
        <v>59</v>
      </c>
      <c r="S31" s="9" t="s">
        <v>59</v>
      </c>
      <c r="T31" s="9">
        <v>0</v>
      </c>
      <c r="U31" s="9">
        <v>0</v>
      </c>
      <c r="V31" s="9">
        <v>0</v>
      </c>
      <c r="W31" s="9">
        <v>0</v>
      </c>
      <c r="X31" s="9">
        <v>0</v>
      </c>
      <c r="Y31" s="9">
        <v>0</v>
      </c>
      <c r="Z31" s="9">
        <v>0</v>
      </c>
      <c r="AA31" s="9">
        <v>1</v>
      </c>
      <c r="AB31" s="9">
        <v>0</v>
      </c>
      <c r="AC31" s="9">
        <v>0</v>
      </c>
      <c r="AD31" s="9">
        <v>0</v>
      </c>
      <c r="AE31" s="9">
        <v>0</v>
      </c>
      <c r="AF31" s="9">
        <v>1</v>
      </c>
      <c r="AG31" s="9">
        <v>1</v>
      </c>
      <c r="AH31" s="9">
        <v>0</v>
      </c>
      <c r="AI31" s="9">
        <v>0</v>
      </c>
      <c r="AJ31" s="9">
        <v>0</v>
      </c>
      <c r="AK31" s="9">
        <v>0</v>
      </c>
      <c r="AL31" s="9">
        <v>1</v>
      </c>
      <c r="AM31" s="9">
        <v>1</v>
      </c>
      <c r="AN31" s="9">
        <v>0</v>
      </c>
      <c r="AO31" s="9" t="s">
        <v>59</v>
      </c>
      <c r="AP31" s="9" t="s">
        <v>59</v>
      </c>
      <c r="AQ31" s="9" t="s">
        <v>59</v>
      </c>
    </row>
    <row r="32" spans="1:155" s="9" customFormat="1" ht="13.75" customHeight="1">
      <c r="A32" s="10" t="s">
        <v>272</v>
      </c>
      <c r="B32" s="10" t="s">
        <v>273</v>
      </c>
      <c r="C32" s="10" t="s">
        <v>255</v>
      </c>
      <c r="D32" s="10" t="s">
        <v>274</v>
      </c>
      <c r="E32" s="10" t="s">
        <v>275</v>
      </c>
      <c r="F32" s="15">
        <v>2024</v>
      </c>
      <c r="G32" s="10" t="s">
        <v>276</v>
      </c>
      <c r="H32" s="8" t="s">
        <v>57</v>
      </c>
      <c r="I32" s="8" t="s">
        <v>277</v>
      </c>
      <c r="J32" s="9">
        <v>1</v>
      </c>
      <c r="K32" s="9">
        <v>0</v>
      </c>
      <c r="L32" s="9">
        <v>1</v>
      </c>
      <c r="M32" s="9">
        <v>0</v>
      </c>
      <c r="N32" s="9">
        <v>1</v>
      </c>
      <c r="O32" s="9">
        <v>0</v>
      </c>
      <c r="P32" s="9">
        <v>0</v>
      </c>
      <c r="Q32" s="9" t="s">
        <v>59</v>
      </c>
      <c r="R32" s="9" t="s">
        <v>59</v>
      </c>
      <c r="S32" s="9" t="s">
        <v>59</v>
      </c>
      <c r="T32" s="9">
        <v>0</v>
      </c>
      <c r="U32" s="9">
        <v>0</v>
      </c>
      <c r="V32" s="9">
        <v>0</v>
      </c>
      <c r="W32" s="9">
        <v>0</v>
      </c>
      <c r="X32" s="9">
        <v>0</v>
      </c>
      <c r="Y32" s="9">
        <v>0</v>
      </c>
      <c r="Z32" s="9">
        <v>0</v>
      </c>
      <c r="AA32" s="9">
        <v>0</v>
      </c>
      <c r="AB32" s="9">
        <v>1</v>
      </c>
      <c r="AC32" s="9">
        <v>0</v>
      </c>
      <c r="AD32" s="9">
        <v>0</v>
      </c>
      <c r="AE32" s="9">
        <v>0</v>
      </c>
      <c r="AF32" s="9">
        <v>1</v>
      </c>
      <c r="AG32" s="9">
        <v>1</v>
      </c>
      <c r="AH32" s="9">
        <v>1</v>
      </c>
      <c r="AI32" s="9">
        <v>0</v>
      </c>
      <c r="AJ32" s="9">
        <v>0</v>
      </c>
      <c r="AK32" s="9">
        <v>0</v>
      </c>
      <c r="AL32" s="9">
        <v>1</v>
      </c>
      <c r="AM32" s="9">
        <v>1</v>
      </c>
      <c r="AN32" s="9">
        <v>0</v>
      </c>
      <c r="AO32" s="9" t="s">
        <v>59</v>
      </c>
      <c r="AP32" s="9" t="s">
        <v>59</v>
      </c>
      <c r="AQ32" s="9" t="s">
        <v>59</v>
      </c>
    </row>
    <row r="33" spans="1:155" s="9" customFormat="1" ht="13.75" customHeight="1">
      <c r="A33" s="22" t="s">
        <v>280</v>
      </c>
      <c r="B33" s="23" t="s">
        <v>281</v>
      </c>
      <c r="C33" s="23" t="s">
        <v>53</v>
      </c>
      <c r="D33" s="23" t="s">
        <v>282</v>
      </c>
      <c r="E33" s="23" t="s">
        <v>283</v>
      </c>
      <c r="F33" s="15">
        <v>2024</v>
      </c>
      <c r="G33" s="75" t="s">
        <v>284</v>
      </c>
      <c r="H33" s="24" t="s">
        <v>57</v>
      </c>
      <c r="I33" s="24" t="s">
        <v>285</v>
      </c>
      <c r="J33" s="25">
        <v>1</v>
      </c>
      <c r="K33" s="25">
        <v>0</v>
      </c>
      <c r="L33" s="25">
        <v>0</v>
      </c>
      <c r="M33" s="25">
        <v>1</v>
      </c>
      <c r="N33" s="25">
        <v>0</v>
      </c>
      <c r="O33" s="25">
        <v>0</v>
      </c>
      <c r="P33" s="25">
        <v>1</v>
      </c>
      <c r="Q33" s="25">
        <v>0</v>
      </c>
      <c r="R33" s="25">
        <v>1</v>
      </c>
      <c r="S33" s="25">
        <v>0</v>
      </c>
      <c r="T33" s="25">
        <v>0</v>
      </c>
      <c r="U33" s="25">
        <v>0</v>
      </c>
      <c r="V33" s="25">
        <v>0</v>
      </c>
      <c r="W33" s="25">
        <v>0</v>
      </c>
      <c r="X33" s="25">
        <v>0</v>
      </c>
      <c r="Y33" s="25">
        <v>0</v>
      </c>
      <c r="Z33" s="25">
        <v>0</v>
      </c>
      <c r="AA33" s="25">
        <v>0</v>
      </c>
      <c r="AB33" s="25">
        <v>0</v>
      </c>
      <c r="AC33" s="25">
        <v>0</v>
      </c>
      <c r="AD33" s="25">
        <v>1</v>
      </c>
      <c r="AE33" s="25">
        <v>0</v>
      </c>
      <c r="AF33" s="25">
        <v>0</v>
      </c>
      <c r="AG33" s="25">
        <v>1</v>
      </c>
      <c r="AH33" s="25">
        <v>0</v>
      </c>
      <c r="AI33" s="25">
        <v>1</v>
      </c>
      <c r="AJ33" s="25">
        <v>0</v>
      </c>
      <c r="AK33" s="25">
        <v>0</v>
      </c>
      <c r="AL33" s="25">
        <v>0</v>
      </c>
      <c r="AM33" s="25">
        <v>1</v>
      </c>
      <c r="AN33" s="25">
        <v>0</v>
      </c>
      <c r="AO33" s="9" t="s">
        <v>59</v>
      </c>
      <c r="AP33" s="9" t="s">
        <v>59</v>
      </c>
      <c r="AQ33" s="9" t="s">
        <v>59</v>
      </c>
      <c r="AR33" s="25"/>
      <c r="AS33" s="25"/>
    </row>
    <row r="34" spans="1:155" s="9" customFormat="1" ht="13.75" customHeight="1">
      <c r="A34" s="22" t="s">
        <v>286</v>
      </c>
      <c r="B34" s="23" t="s">
        <v>287</v>
      </c>
      <c r="C34" s="23" t="s">
        <v>133</v>
      </c>
      <c r="D34" s="23" t="s">
        <v>288</v>
      </c>
      <c r="E34" s="23" t="s">
        <v>289</v>
      </c>
      <c r="F34" s="15">
        <v>2024</v>
      </c>
      <c r="G34" s="75" t="s">
        <v>290</v>
      </c>
      <c r="H34" s="24" t="s">
        <v>117</v>
      </c>
      <c r="I34" s="24" t="s">
        <v>291</v>
      </c>
      <c r="J34" s="25">
        <v>1</v>
      </c>
      <c r="K34" s="25">
        <v>0</v>
      </c>
      <c r="L34" s="25">
        <v>1</v>
      </c>
      <c r="M34" s="25">
        <v>1</v>
      </c>
      <c r="N34" s="25">
        <v>1</v>
      </c>
      <c r="O34" s="25">
        <v>0</v>
      </c>
      <c r="P34" s="25">
        <v>1</v>
      </c>
      <c r="Q34" s="25">
        <v>0</v>
      </c>
      <c r="R34" s="25">
        <v>1</v>
      </c>
      <c r="S34" s="25">
        <v>0</v>
      </c>
      <c r="T34" s="25">
        <v>0</v>
      </c>
      <c r="U34" s="25">
        <v>0</v>
      </c>
      <c r="V34" s="25">
        <v>0</v>
      </c>
      <c r="W34" s="25">
        <v>0</v>
      </c>
      <c r="X34" s="25">
        <v>0</v>
      </c>
      <c r="Y34" s="25">
        <v>0</v>
      </c>
      <c r="Z34" s="25">
        <v>0</v>
      </c>
      <c r="AA34" s="25">
        <v>0</v>
      </c>
      <c r="AB34" s="25">
        <v>0</v>
      </c>
      <c r="AC34" s="25">
        <v>0</v>
      </c>
      <c r="AD34" s="25">
        <v>0</v>
      </c>
      <c r="AE34" s="25">
        <v>0</v>
      </c>
      <c r="AF34" s="25">
        <v>0</v>
      </c>
      <c r="AG34" s="25">
        <v>1</v>
      </c>
      <c r="AH34" s="25">
        <v>0</v>
      </c>
      <c r="AI34" s="25">
        <v>1</v>
      </c>
      <c r="AJ34" s="25">
        <v>0</v>
      </c>
      <c r="AK34" s="25">
        <v>0</v>
      </c>
      <c r="AL34" s="25">
        <v>0</v>
      </c>
      <c r="AM34" s="25">
        <v>1</v>
      </c>
      <c r="AN34" s="25">
        <v>0</v>
      </c>
      <c r="AO34" s="9" t="s">
        <v>59</v>
      </c>
      <c r="AP34" s="9" t="s">
        <v>59</v>
      </c>
      <c r="AQ34" s="9" t="s">
        <v>59</v>
      </c>
      <c r="AR34" s="25"/>
      <c r="AS34" s="25"/>
    </row>
    <row r="35" spans="1:155" s="9" customFormat="1" ht="13.75" customHeight="1">
      <c r="A35" s="26" t="s">
        <v>292</v>
      </c>
      <c r="B35" s="27" t="s">
        <v>293</v>
      </c>
      <c r="C35" s="27" t="s">
        <v>294</v>
      </c>
      <c r="D35" s="27" t="s">
        <v>295</v>
      </c>
      <c r="E35" s="27" t="s">
        <v>279</v>
      </c>
      <c r="F35" s="15">
        <v>2024</v>
      </c>
      <c r="G35" s="76" t="s">
        <v>296</v>
      </c>
      <c r="H35" s="27" t="s">
        <v>297</v>
      </c>
      <c r="I35" s="27" t="s">
        <v>298</v>
      </c>
      <c r="J35" s="25">
        <v>1</v>
      </c>
      <c r="K35" s="25">
        <v>0</v>
      </c>
      <c r="L35" s="25">
        <v>1</v>
      </c>
      <c r="M35" s="25">
        <v>0</v>
      </c>
      <c r="N35" s="25" t="s">
        <v>59</v>
      </c>
      <c r="O35" s="25" t="s">
        <v>59</v>
      </c>
      <c r="P35" s="25" t="s">
        <v>59</v>
      </c>
      <c r="Q35" s="25" t="s">
        <v>59</v>
      </c>
      <c r="R35" s="25" t="s">
        <v>59</v>
      </c>
      <c r="S35" s="25" t="s">
        <v>59</v>
      </c>
      <c r="T35" s="25">
        <v>1</v>
      </c>
      <c r="U35" s="25">
        <v>0</v>
      </c>
      <c r="V35" s="25">
        <v>0</v>
      </c>
      <c r="W35" s="25">
        <v>0</v>
      </c>
      <c r="X35" s="25">
        <v>0</v>
      </c>
      <c r="Y35" s="25">
        <v>0</v>
      </c>
      <c r="Z35" s="25">
        <v>0</v>
      </c>
      <c r="AA35" s="25">
        <v>0</v>
      </c>
      <c r="AB35" s="25">
        <v>0</v>
      </c>
      <c r="AC35" s="25">
        <v>0</v>
      </c>
      <c r="AD35" s="25">
        <v>1</v>
      </c>
      <c r="AE35" s="25">
        <v>0</v>
      </c>
      <c r="AF35" s="25">
        <v>0</v>
      </c>
      <c r="AG35" s="25">
        <v>1</v>
      </c>
      <c r="AH35" s="25">
        <v>0</v>
      </c>
      <c r="AI35" s="25">
        <v>1</v>
      </c>
      <c r="AJ35" s="25">
        <v>0</v>
      </c>
      <c r="AK35" s="25">
        <v>0</v>
      </c>
      <c r="AL35" s="25">
        <v>0</v>
      </c>
      <c r="AM35" s="25">
        <v>1</v>
      </c>
      <c r="AN35" s="25">
        <v>0</v>
      </c>
      <c r="AO35" s="9" t="s">
        <v>59</v>
      </c>
      <c r="AP35" s="9" t="s">
        <v>59</v>
      </c>
      <c r="AQ35" s="9" t="s">
        <v>59</v>
      </c>
      <c r="AR35" s="25"/>
      <c r="AS35" s="25"/>
      <c r="AT35" s="7"/>
      <c r="AU35" s="7"/>
      <c r="AV35" s="7"/>
      <c r="AW35" s="7"/>
      <c r="AX35" s="7"/>
      <c r="AY35" s="7"/>
      <c r="AZ35" s="7"/>
    </row>
    <row r="36" spans="1:155" s="9" customFormat="1" ht="13.75" customHeight="1">
      <c r="A36" s="26" t="s">
        <v>299</v>
      </c>
      <c r="B36" s="27" t="s">
        <v>300</v>
      </c>
      <c r="C36" s="27" t="s">
        <v>301</v>
      </c>
      <c r="D36" s="27" t="s">
        <v>302</v>
      </c>
      <c r="E36" s="27" t="s">
        <v>303</v>
      </c>
      <c r="F36" s="15">
        <v>2024</v>
      </c>
      <c r="G36" s="76" t="s">
        <v>304</v>
      </c>
      <c r="H36" s="27" t="s">
        <v>305</v>
      </c>
      <c r="I36" s="27" t="s">
        <v>306</v>
      </c>
      <c r="J36" s="25">
        <v>1</v>
      </c>
      <c r="K36" s="25">
        <v>0</v>
      </c>
      <c r="L36" s="25">
        <v>1</v>
      </c>
      <c r="M36" s="25">
        <v>0</v>
      </c>
      <c r="N36" s="25" t="s">
        <v>59</v>
      </c>
      <c r="O36" s="25" t="s">
        <v>59</v>
      </c>
      <c r="P36" s="25" t="s">
        <v>59</v>
      </c>
      <c r="Q36" s="25" t="s">
        <v>59</v>
      </c>
      <c r="R36" s="25" t="s">
        <v>59</v>
      </c>
      <c r="S36" s="25" t="s">
        <v>59</v>
      </c>
      <c r="T36" s="25" t="s">
        <v>59</v>
      </c>
      <c r="U36" s="25">
        <v>0</v>
      </c>
      <c r="V36" s="25">
        <v>0</v>
      </c>
      <c r="W36" s="25">
        <v>0</v>
      </c>
      <c r="X36" s="25">
        <v>0</v>
      </c>
      <c r="Y36" s="25">
        <v>0</v>
      </c>
      <c r="Z36" s="25">
        <v>0</v>
      </c>
      <c r="AA36" s="25">
        <v>1</v>
      </c>
      <c r="AB36" s="25">
        <v>0</v>
      </c>
      <c r="AC36" s="25">
        <v>0</v>
      </c>
      <c r="AD36" s="25">
        <v>1</v>
      </c>
      <c r="AE36" s="25">
        <v>0</v>
      </c>
      <c r="AF36" s="25">
        <v>0</v>
      </c>
      <c r="AG36" s="25">
        <v>0</v>
      </c>
      <c r="AH36" s="25" t="s">
        <v>59</v>
      </c>
      <c r="AI36" s="25" t="s">
        <v>59</v>
      </c>
      <c r="AJ36" s="25" t="s">
        <v>59</v>
      </c>
      <c r="AK36" s="25">
        <v>0</v>
      </c>
      <c r="AL36" s="25">
        <v>0</v>
      </c>
      <c r="AM36" s="25">
        <v>1</v>
      </c>
      <c r="AN36" s="25">
        <v>0</v>
      </c>
      <c r="AO36" s="9" t="s">
        <v>59</v>
      </c>
      <c r="AP36" s="9" t="s">
        <v>59</v>
      </c>
      <c r="AQ36" s="9" t="s">
        <v>59</v>
      </c>
      <c r="AR36" s="25"/>
      <c r="AS36" s="25"/>
      <c r="AT36" s="7"/>
      <c r="AU36" s="7"/>
      <c r="AV36" s="7"/>
      <c r="AW36" s="7"/>
      <c r="AX36" s="7"/>
      <c r="AY36" s="7"/>
      <c r="AZ36" s="7"/>
    </row>
    <row r="37" spans="1:155" s="9" customFormat="1" ht="13.75" customHeight="1">
      <c r="A37" s="26" t="s">
        <v>309</v>
      </c>
      <c r="B37" s="27" t="s">
        <v>310</v>
      </c>
      <c r="C37" s="27" t="s">
        <v>311</v>
      </c>
      <c r="D37" s="27" t="s">
        <v>312</v>
      </c>
      <c r="E37" s="27" t="s">
        <v>313</v>
      </c>
      <c r="F37" s="15">
        <v>2024</v>
      </c>
      <c r="G37" s="76" t="s">
        <v>314</v>
      </c>
      <c r="H37" s="27" t="s">
        <v>315</v>
      </c>
      <c r="I37" s="27" t="s">
        <v>316</v>
      </c>
      <c r="J37" s="25">
        <v>1</v>
      </c>
      <c r="K37" s="25">
        <v>0</v>
      </c>
      <c r="L37" s="25">
        <v>1</v>
      </c>
      <c r="M37" s="25">
        <v>1</v>
      </c>
      <c r="N37" s="25" t="s">
        <v>59</v>
      </c>
      <c r="O37" s="25" t="s">
        <v>59</v>
      </c>
      <c r="P37" s="25" t="s">
        <v>59</v>
      </c>
      <c r="Q37" s="25" t="s">
        <v>59</v>
      </c>
      <c r="R37" s="25" t="s">
        <v>59</v>
      </c>
      <c r="S37" s="25" t="s">
        <v>59</v>
      </c>
      <c r="T37" s="25" t="s">
        <v>59</v>
      </c>
      <c r="U37" s="25">
        <v>0</v>
      </c>
      <c r="V37" s="25">
        <v>1</v>
      </c>
      <c r="W37" s="25">
        <v>0</v>
      </c>
      <c r="X37" s="25">
        <v>0</v>
      </c>
      <c r="Y37" s="25">
        <v>0</v>
      </c>
      <c r="Z37" s="25">
        <v>0</v>
      </c>
      <c r="AA37" s="25">
        <v>0</v>
      </c>
      <c r="AB37" s="25">
        <v>0</v>
      </c>
      <c r="AC37" s="25">
        <v>0</v>
      </c>
      <c r="AD37" s="25">
        <v>0</v>
      </c>
      <c r="AE37" s="25">
        <v>0</v>
      </c>
      <c r="AF37" s="25">
        <v>0</v>
      </c>
      <c r="AG37" s="25">
        <v>1</v>
      </c>
      <c r="AH37" s="25">
        <v>1</v>
      </c>
      <c r="AI37" s="25">
        <v>0</v>
      </c>
      <c r="AJ37" s="25">
        <v>0</v>
      </c>
      <c r="AK37" s="25">
        <v>0</v>
      </c>
      <c r="AL37" s="25">
        <v>1</v>
      </c>
      <c r="AM37" s="25">
        <v>1</v>
      </c>
      <c r="AN37" s="25">
        <v>0</v>
      </c>
      <c r="AO37" s="9" t="s">
        <v>59</v>
      </c>
      <c r="AP37" s="9" t="s">
        <v>59</v>
      </c>
      <c r="AQ37" s="9" t="s">
        <v>59</v>
      </c>
      <c r="AR37" s="25"/>
      <c r="AS37" s="25"/>
      <c r="AT37" s="7"/>
      <c r="AU37" s="7"/>
      <c r="AV37" s="7"/>
      <c r="AW37" s="7"/>
      <c r="AX37" s="7"/>
      <c r="AY37" s="7"/>
      <c r="AZ37" s="7"/>
    </row>
    <row r="38" spans="1:155" s="9" customFormat="1" ht="13.75" customHeight="1">
      <c r="A38" s="26" t="s">
        <v>317</v>
      </c>
      <c r="B38" s="27" t="s">
        <v>318</v>
      </c>
      <c r="C38" s="27" t="s">
        <v>319</v>
      </c>
      <c r="D38" s="27" t="s">
        <v>320</v>
      </c>
      <c r="E38" s="27" t="s">
        <v>279</v>
      </c>
      <c r="F38" s="15">
        <v>2024</v>
      </c>
      <c r="G38" s="76" t="s">
        <v>321</v>
      </c>
      <c r="H38" s="27" t="s">
        <v>322</v>
      </c>
      <c r="I38" s="27" t="s">
        <v>323</v>
      </c>
      <c r="J38" s="25">
        <v>1</v>
      </c>
      <c r="K38" s="25">
        <v>0</v>
      </c>
      <c r="L38" s="25">
        <v>0</v>
      </c>
      <c r="M38" s="25">
        <v>1</v>
      </c>
      <c r="N38" s="25" t="s">
        <v>59</v>
      </c>
      <c r="O38" s="25" t="s">
        <v>59</v>
      </c>
      <c r="P38" s="25" t="s">
        <v>59</v>
      </c>
      <c r="Q38" s="25" t="s">
        <v>59</v>
      </c>
      <c r="R38" s="25" t="s">
        <v>59</v>
      </c>
      <c r="S38" s="25" t="s">
        <v>59</v>
      </c>
      <c r="T38" s="25" t="s">
        <v>59</v>
      </c>
      <c r="U38" s="25">
        <v>0</v>
      </c>
      <c r="V38" s="25">
        <v>0</v>
      </c>
      <c r="W38" s="25">
        <v>1</v>
      </c>
      <c r="X38" s="25">
        <v>0</v>
      </c>
      <c r="Y38" s="25">
        <v>0</v>
      </c>
      <c r="Z38" s="25">
        <v>0</v>
      </c>
      <c r="AA38" s="25">
        <v>0</v>
      </c>
      <c r="AB38" s="25">
        <v>0</v>
      </c>
      <c r="AC38" s="25">
        <v>0</v>
      </c>
      <c r="AD38" s="25">
        <v>1</v>
      </c>
      <c r="AE38" s="25">
        <v>0</v>
      </c>
      <c r="AF38" s="25">
        <v>0</v>
      </c>
      <c r="AG38" s="25">
        <v>1</v>
      </c>
      <c r="AH38" s="25">
        <v>0</v>
      </c>
      <c r="AI38" s="25">
        <v>1</v>
      </c>
      <c r="AJ38" s="25">
        <v>0</v>
      </c>
      <c r="AK38" s="25">
        <v>0</v>
      </c>
      <c r="AL38" s="25">
        <v>0</v>
      </c>
      <c r="AM38" s="25">
        <v>1</v>
      </c>
      <c r="AN38" s="25">
        <v>0</v>
      </c>
      <c r="AO38" s="9" t="s">
        <v>59</v>
      </c>
      <c r="AP38" s="9" t="s">
        <v>59</v>
      </c>
      <c r="AQ38" s="9" t="s">
        <v>59</v>
      </c>
      <c r="AR38" s="25"/>
      <c r="AS38" s="25"/>
      <c r="AT38" s="7"/>
      <c r="AU38" s="7"/>
      <c r="AV38" s="7"/>
      <c r="AW38" s="7"/>
      <c r="AX38" s="7"/>
      <c r="AY38" s="7"/>
      <c r="AZ38" s="7"/>
    </row>
    <row r="39" spans="1:155" s="9" customFormat="1" ht="13.75" customHeight="1">
      <c r="A39" s="26" t="s">
        <v>324</v>
      </c>
      <c r="B39" s="27" t="s">
        <v>325</v>
      </c>
      <c r="C39" s="27" t="s">
        <v>228</v>
      </c>
      <c r="D39" s="27" t="s">
        <v>326</v>
      </c>
      <c r="E39" s="27" t="s">
        <v>327</v>
      </c>
      <c r="F39" s="15">
        <v>2024</v>
      </c>
      <c r="G39" s="76" t="s">
        <v>328</v>
      </c>
      <c r="H39" s="36" t="s">
        <v>105</v>
      </c>
      <c r="I39" s="36" t="s">
        <v>329</v>
      </c>
      <c r="J39" s="25">
        <v>1</v>
      </c>
      <c r="K39" s="25">
        <v>0</v>
      </c>
      <c r="L39" s="25">
        <v>0</v>
      </c>
      <c r="M39" s="25">
        <v>1</v>
      </c>
      <c r="N39" s="25">
        <v>1</v>
      </c>
      <c r="O39" s="25">
        <v>1</v>
      </c>
      <c r="P39" s="25">
        <v>0</v>
      </c>
      <c r="Q39" s="25">
        <v>1</v>
      </c>
      <c r="R39" s="25" t="s">
        <v>59</v>
      </c>
      <c r="S39" s="25" t="s">
        <v>59</v>
      </c>
      <c r="T39" s="25" t="s">
        <v>59</v>
      </c>
      <c r="U39" s="25">
        <v>0</v>
      </c>
      <c r="V39" s="25">
        <v>0</v>
      </c>
      <c r="W39" s="25">
        <v>0</v>
      </c>
      <c r="X39" s="25">
        <v>0</v>
      </c>
      <c r="Y39" s="25">
        <v>0</v>
      </c>
      <c r="Z39" s="25">
        <v>0</v>
      </c>
      <c r="AA39" s="25">
        <v>0</v>
      </c>
      <c r="AB39" s="25">
        <v>0</v>
      </c>
      <c r="AC39" s="25">
        <v>1</v>
      </c>
      <c r="AD39" s="25">
        <v>0</v>
      </c>
      <c r="AE39" s="25">
        <v>0</v>
      </c>
      <c r="AF39" s="25">
        <v>0</v>
      </c>
      <c r="AG39" s="25">
        <v>1</v>
      </c>
      <c r="AH39" s="25">
        <v>1</v>
      </c>
      <c r="AI39" s="25">
        <v>1</v>
      </c>
      <c r="AJ39" s="25">
        <v>0</v>
      </c>
      <c r="AK39" s="25">
        <v>0</v>
      </c>
      <c r="AL39" s="25">
        <v>0</v>
      </c>
      <c r="AM39" s="25">
        <v>1</v>
      </c>
      <c r="AN39" s="25">
        <v>0</v>
      </c>
      <c r="AO39" s="9" t="s">
        <v>59</v>
      </c>
      <c r="AP39" s="9" t="s">
        <v>59</v>
      </c>
      <c r="AQ39" s="9" t="s">
        <v>59</v>
      </c>
      <c r="AR39" s="25"/>
      <c r="AS39" s="25"/>
    </row>
    <row r="40" spans="1:155" s="9" customFormat="1" ht="13.75" customHeight="1">
      <c r="A40" s="10" t="s">
        <v>330</v>
      </c>
      <c r="B40" s="10" t="s">
        <v>331</v>
      </c>
      <c r="C40" s="10" t="s">
        <v>86</v>
      </c>
      <c r="D40" s="10" t="s">
        <v>332</v>
      </c>
      <c r="E40" s="10" t="s">
        <v>333</v>
      </c>
      <c r="F40" s="15">
        <v>2024</v>
      </c>
      <c r="G40" s="10" t="s">
        <v>334</v>
      </c>
      <c r="H40" s="8" t="s">
        <v>57</v>
      </c>
      <c r="I40" s="8" t="s">
        <v>335</v>
      </c>
      <c r="J40" s="9">
        <v>1</v>
      </c>
      <c r="K40" s="9">
        <v>0</v>
      </c>
      <c r="L40" s="9">
        <v>0</v>
      </c>
      <c r="M40" s="9">
        <v>1</v>
      </c>
      <c r="N40" s="9">
        <v>1</v>
      </c>
      <c r="O40" s="9">
        <v>0</v>
      </c>
      <c r="P40" s="9">
        <v>0</v>
      </c>
      <c r="Q40" s="9">
        <v>1</v>
      </c>
      <c r="R40" s="9">
        <v>1</v>
      </c>
      <c r="S40" s="9">
        <v>0</v>
      </c>
      <c r="T40" s="9">
        <v>0</v>
      </c>
      <c r="U40" s="9">
        <v>0</v>
      </c>
      <c r="V40" s="9">
        <v>0</v>
      </c>
      <c r="W40" s="9">
        <v>0</v>
      </c>
      <c r="X40" s="9">
        <v>0</v>
      </c>
      <c r="Y40" s="9">
        <v>0</v>
      </c>
      <c r="Z40" s="9">
        <v>0</v>
      </c>
      <c r="AA40" s="9">
        <v>1</v>
      </c>
      <c r="AB40" s="9">
        <v>0</v>
      </c>
      <c r="AC40" s="9">
        <v>0</v>
      </c>
      <c r="AD40" s="9">
        <v>0</v>
      </c>
      <c r="AE40" s="9">
        <v>0</v>
      </c>
      <c r="AF40" s="9">
        <v>1</v>
      </c>
      <c r="AG40" s="9">
        <v>1</v>
      </c>
      <c r="AH40" s="9">
        <v>0</v>
      </c>
      <c r="AI40" s="9">
        <v>0</v>
      </c>
      <c r="AJ40" s="9">
        <v>0</v>
      </c>
      <c r="AK40" s="9">
        <v>0</v>
      </c>
      <c r="AL40" s="9">
        <v>1</v>
      </c>
      <c r="AM40" s="9">
        <v>1</v>
      </c>
      <c r="AN40" s="9">
        <v>0</v>
      </c>
      <c r="AO40" s="9" t="s">
        <v>59</v>
      </c>
      <c r="AP40" s="9" t="s">
        <v>59</v>
      </c>
      <c r="AQ40" s="9" t="s">
        <v>59</v>
      </c>
    </row>
    <row r="41" spans="1:155" s="9" customFormat="1" ht="13.75" customHeight="1">
      <c r="A41" s="10" t="s">
        <v>338</v>
      </c>
      <c r="B41" s="10" t="s">
        <v>339</v>
      </c>
      <c r="C41" s="10" t="s">
        <v>78</v>
      </c>
      <c r="D41" s="10" t="s">
        <v>340</v>
      </c>
      <c r="E41" s="10" t="s">
        <v>341</v>
      </c>
      <c r="F41" s="15">
        <v>2024</v>
      </c>
      <c r="G41" s="10" t="str">
        <f>HYPERLINK("http://dx.doi.org/10.3390/fire7080277","http://dx.doi.org/10.3390/fire7080277")</f>
        <v>http://dx.doi.org/10.3390/fire7080277</v>
      </c>
      <c r="H41" s="8" t="s">
        <v>82</v>
      </c>
      <c r="I41" s="8" t="s">
        <v>342</v>
      </c>
      <c r="J41" s="9">
        <v>1</v>
      </c>
      <c r="K41" s="9">
        <v>0</v>
      </c>
      <c r="L41" s="9">
        <v>0</v>
      </c>
      <c r="M41" s="9">
        <v>1</v>
      </c>
      <c r="N41" s="9">
        <v>1</v>
      </c>
      <c r="O41" s="9">
        <v>0</v>
      </c>
      <c r="P41" s="9">
        <v>0</v>
      </c>
      <c r="Q41" s="9" t="s">
        <v>59</v>
      </c>
      <c r="R41" s="9" t="s">
        <v>59</v>
      </c>
      <c r="S41" s="9" t="s">
        <v>59</v>
      </c>
      <c r="T41" s="9">
        <v>0</v>
      </c>
      <c r="U41" s="9">
        <v>0</v>
      </c>
      <c r="V41" s="9">
        <v>0</v>
      </c>
      <c r="W41" s="9">
        <v>0</v>
      </c>
      <c r="X41" s="9">
        <v>0</v>
      </c>
      <c r="Y41" s="9">
        <v>0</v>
      </c>
      <c r="Z41" s="9">
        <v>0</v>
      </c>
      <c r="AA41" s="9">
        <v>0</v>
      </c>
      <c r="AB41" s="9">
        <v>1</v>
      </c>
      <c r="AC41" s="9">
        <v>0</v>
      </c>
      <c r="AD41" s="9">
        <v>0</v>
      </c>
      <c r="AE41" s="9">
        <v>0</v>
      </c>
      <c r="AF41" s="9" t="s">
        <v>59</v>
      </c>
      <c r="AG41" s="9" t="s">
        <v>59</v>
      </c>
      <c r="AH41" s="9" t="s">
        <v>59</v>
      </c>
      <c r="AI41" s="9" t="s">
        <v>59</v>
      </c>
      <c r="AJ41" s="9">
        <v>0</v>
      </c>
      <c r="AK41" s="9">
        <v>0</v>
      </c>
      <c r="AL41" s="9">
        <v>1</v>
      </c>
      <c r="AM41" s="9">
        <v>1</v>
      </c>
      <c r="AN41" s="9">
        <v>0</v>
      </c>
      <c r="AO41" s="9" t="s">
        <v>59</v>
      </c>
      <c r="AP41" s="9" t="s">
        <v>59</v>
      </c>
      <c r="AQ41" s="9" t="s">
        <v>59</v>
      </c>
    </row>
    <row r="42" spans="1:155" s="9" customFormat="1" ht="13.75" customHeight="1">
      <c r="A42" s="10" t="s">
        <v>343</v>
      </c>
      <c r="B42" s="10" t="s">
        <v>344</v>
      </c>
      <c r="C42" s="10" t="s">
        <v>345</v>
      </c>
      <c r="D42" s="10" t="s">
        <v>346</v>
      </c>
      <c r="E42" s="10" t="s">
        <v>347</v>
      </c>
      <c r="F42" s="15">
        <v>2024</v>
      </c>
      <c r="G42" s="10" t="str">
        <f>HYPERLINK("http://dx.doi.org/10.1029/2023EF003778","http://dx.doi.org/10.1029/2023EF003778")</f>
        <v>http://dx.doi.org/10.1029/2023EF003778</v>
      </c>
      <c r="H42" s="8" t="s">
        <v>150</v>
      </c>
      <c r="I42" s="8" t="s">
        <v>348</v>
      </c>
      <c r="J42" s="9">
        <v>1</v>
      </c>
      <c r="K42" s="9">
        <v>0</v>
      </c>
      <c r="L42" s="9">
        <v>0</v>
      </c>
      <c r="M42" s="9">
        <v>1</v>
      </c>
      <c r="N42" s="9">
        <v>1</v>
      </c>
      <c r="O42" s="9">
        <v>0</v>
      </c>
      <c r="P42" s="9">
        <v>0</v>
      </c>
      <c r="Q42" s="9" t="s">
        <v>59</v>
      </c>
      <c r="R42" s="9" t="s">
        <v>59</v>
      </c>
      <c r="S42" s="9" t="s">
        <v>59</v>
      </c>
      <c r="T42" s="9">
        <v>1</v>
      </c>
      <c r="U42" s="9">
        <v>0</v>
      </c>
      <c r="V42" s="9">
        <v>0</v>
      </c>
      <c r="W42" s="9">
        <v>0</v>
      </c>
      <c r="X42" s="9">
        <v>0</v>
      </c>
      <c r="Y42" s="9">
        <v>0</v>
      </c>
      <c r="Z42" s="9">
        <v>0</v>
      </c>
      <c r="AA42" s="9">
        <v>0</v>
      </c>
      <c r="AB42" s="9">
        <v>1</v>
      </c>
      <c r="AC42" s="9">
        <v>0</v>
      </c>
      <c r="AD42" s="9">
        <v>0</v>
      </c>
      <c r="AE42" s="9">
        <v>0</v>
      </c>
      <c r="AF42" s="9" t="s">
        <v>59</v>
      </c>
      <c r="AG42" s="9" t="s">
        <v>59</v>
      </c>
      <c r="AH42" s="9" t="s">
        <v>59</v>
      </c>
      <c r="AI42" s="9" t="s">
        <v>59</v>
      </c>
      <c r="AJ42" s="9">
        <v>0</v>
      </c>
      <c r="AK42" s="9">
        <v>0</v>
      </c>
      <c r="AL42" s="9">
        <v>1</v>
      </c>
      <c r="AM42" s="9">
        <v>1</v>
      </c>
      <c r="AN42" s="9">
        <v>0</v>
      </c>
      <c r="AO42" s="9" t="s">
        <v>59</v>
      </c>
      <c r="AP42" s="9" t="s">
        <v>59</v>
      </c>
      <c r="AQ42" s="9" t="s">
        <v>59</v>
      </c>
    </row>
    <row r="43" spans="1:155" s="9" customFormat="1" ht="13.75" customHeight="1">
      <c r="A43" s="10" t="s">
        <v>349</v>
      </c>
      <c r="B43" s="10" t="s">
        <v>350</v>
      </c>
      <c r="C43" s="10" t="s">
        <v>351</v>
      </c>
      <c r="D43" s="16"/>
      <c r="E43" s="10" t="s">
        <v>352</v>
      </c>
      <c r="F43" s="15">
        <v>2024</v>
      </c>
      <c r="G43" s="10" t="str">
        <f>HYPERLINK("http://dx.doi.org/10.1038/s44220-024-00210-8","http://dx.doi.org/10.1038/s44220-024-00210-8")</f>
        <v>http://dx.doi.org/10.1038/s44220-024-00210-8</v>
      </c>
      <c r="H43" s="8" t="s">
        <v>353</v>
      </c>
      <c r="I43" s="8" t="s">
        <v>354</v>
      </c>
      <c r="J43" s="9">
        <v>1</v>
      </c>
      <c r="K43" s="9">
        <v>0</v>
      </c>
      <c r="L43" s="9">
        <v>0</v>
      </c>
      <c r="M43" s="9">
        <v>1</v>
      </c>
      <c r="N43" s="9">
        <v>1</v>
      </c>
      <c r="O43" s="9">
        <v>0</v>
      </c>
      <c r="P43" s="9">
        <v>0</v>
      </c>
      <c r="Q43" s="9" t="s">
        <v>59</v>
      </c>
      <c r="R43" s="9" t="s">
        <v>59</v>
      </c>
      <c r="S43" s="9" t="s">
        <v>59</v>
      </c>
      <c r="T43" s="9">
        <v>0</v>
      </c>
      <c r="U43" s="9">
        <v>0</v>
      </c>
      <c r="V43" s="9">
        <v>0</v>
      </c>
      <c r="W43" s="9">
        <v>0</v>
      </c>
      <c r="X43" s="9">
        <v>0</v>
      </c>
      <c r="Y43" s="9">
        <v>0</v>
      </c>
      <c r="Z43" s="9">
        <v>1</v>
      </c>
      <c r="AA43" s="9">
        <v>0</v>
      </c>
      <c r="AB43" s="9">
        <v>0</v>
      </c>
      <c r="AC43" s="9">
        <v>0</v>
      </c>
      <c r="AD43" s="9">
        <v>0</v>
      </c>
      <c r="AE43" s="9">
        <v>0</v>
      </c>
      <c r="AF43" s="9">
        <v>1</v>
      </c>
      <c r="AG43" s="9">
        <v>1</v>
      </c>
      <c r="AH43" s="9">
        <v>1</v>
      </c>
      <c r="AI43" s="9">
        <v>0</v>
      </c>
      <c r="AJ43" s="9">
        <v>1</v>
      </c>
      <c r="AK43" s="9">
        <v>0</v>
      </c>
      <c r="AL43" s="9">
        <v>1</v>
      </c>
      <c r="AM43" s="9">
        <v>1</v>
      </c>
      <c r="AN43" s="9">
        <v>0</v>
      </c>
      <c r="AO43" s="9" t="s">
        <v>59</v>
      </c>
      <c r="AP43" s="9" t="s">
        <v>59</v>
      </c>
      <c r="AQ43" s="9" t="s">
        <v>59</v>
      </c>
    </row>
    <row r="44" spans="1:155" s="9" customFormat="1" ht="13.75" customHeight="1">
      <c r="A44" s="28" t="s">
        <v>355</v>
      </c>
      <c r="B44" s="28" t="s">
        <v>356</v>
      </c>
      <c r="C44" s="28" t="s">
        <v>196</v>
      </c>
      <c r="D44" s="28"/>
      <c r="E44" s="28" t="s">
        <v>357</v>
      </c>
      <c r="F44" s="28">
        <v>2024</v>
      </c>
      <c r="G44" s="77" t="s">
        <v>1093</v>
      </c>
      <c r="H44" s="34" t="s">
        <v>124</v>
      </c>
      <c r="I44" s="34" t="s">
        <v>358</v>
      </c>
      <c r="J44" s="13">
        <v>1</v>
      </c>
      <c r="K44" s="13">
        <v>0</v>
      </c>
      <c r="L44" s="13">
        <v>0</v>
      </c>
      <c r="M44" s="13">
        <v>1</v>
      </c>
      <c r="N44" s="13">
        <v>1</v>
      </c>
      <c r="O44" s="13">
        <v>0</v>
      </c>
      <c r="P44" s="13">
        <v>0</v>
      </c>
      <c r="Q44" s="37" t="s">
        <v>59</v>
      </c>
      <c r="R44" s="13" t="s">
        <v>59</v>
      </c>
      <c r="S44" s="13" t="s">
        <v>59</v>
      </c>
      <c r="T44" s="13">
        <v>0</v>
      </c>
      <c r="U44" s="13">
        <v>0</v>
      </c>
      <c r="V44" s="13">
        <v>0</v>
      </c>
      <c r="W44" s="13">
        <v>0</v>
      </c>
      <c r="X44" s="13">
        <v>0</v>
      </c>
      <c r="Y44" s="13">
        <v>0</v>
      </c>
      <c r="Z44" s="13">
        <v>0</v>
      </c>
      <c r="AA44" s="13">
        <v>0</v>
      </c>
      <c r="AB44" s="13">
        <v>1</v>
      </c>
      <c r="AC44" s="13">
        <v>0</v>
      </c>
      <c r="AD44" s="13">
        <v>0</v>
      </c>
      <c r="AE44" s="13">
        <v>1</v>
      </c>
      <c r="AF44" s="13">
        <v>1</v>
      </c>
      <c r="AG44" s="13">
        <v>1</v>
      </c>
      <c r="AH44" s="13">
        <v>1</v>
      </c>
      <c r="AI44" s="13">
        <v>0</v>
      </c>
      <c r="AJ44" s="13">
        <v>0</v>
      </c>
      <c r="AK44" s="13">
        <v>1</v>
      </c>
      <c r="AL44" s="13">
        <v>1</v>
      </c>
      <c r="AM44" s="13">
        <v>1</v>
      </c>
      <c r="AN44" s="13">
        <v>0</v>
      </c>
      <c r="AO44" s="9" t="s">
        <v>59</v>
      </c>
      <c r="AP44" s="9" t="s">
        <v>59</v>
      </c>
      <c r="AQ44" s="9" t="s">
        <v>59</v>
      </c>
      <c r="AR44" s="13"/>
      <c r="AS44" s="13"/>
      <c r="AT44" s="13"/>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row>
    <row r="45" spans="1:155" s="9" customFormat="1" ht="13.75" customHeight="1">
      <c r="A45" s="28" t="s">
        <v>359</v>
      </c>
      <c r="B45" s="28" t="s">
        <v>360</v>
      </c>
      <c r="C45" s="28" t="s">
        <v>228</v>
      </c>
      <c r="D45" s="28" t="s">
        <v>361</v>
      </c>
      <c r="E45" s="28" t="s">
        <v>362</v>
      </c>
      <c r="F45" s="28">
        <v>2024</v>
      </c>
      <c r="G45" s="77" t="s">
        <v>1094</v>
      </c>
      <c r="H45" s="34" t="s">
        <v>105</v>
      </c>
      <c r="I45" s="34" t="s">
        <v>363</v>
      </c>
      <c r="J45" s="13">
        <v>1</v>
      </c>
      <c r="K45" s="13">
        <v>0</v>
      </c>
      <c r="L45" s="13">
        <v>0</v>
      </c>
      <c r="M45" s="13">
        <v>1</v>
      </c>
      <c r="N45" s="13">
        <v>1</v>
      </c>
      <c r="O45" s="13">
        <v>0</v>
      </c>
      <c r="P45" s="13">
        <v>0</v>
      </c>
      <c r="Q45" s="37" t="s">
        <v>59</v>
      </c>
      <c r="R45" s="13" t="s">
        <v>59</v>
      </c>
      <c r="S45" s="13" t="s">
        <v>59</v>
      </c>
      <c r="T45" s="13">
        <v>0</v>
      </c>
      <c r="U45" s="13">
        <v>0</v>
      </c>
      <c r="V45" s="13">
        <v>0</v>
      </c>
      <c r="W45" s="13">
        <v>0</v>
      </c>
      <c r="X45" s="13">
        <v>0</v>
      </c>
      <c r="Y45" s="13">
        <v>0</v>
      </c>
      <c r="Z45" s="13">
        <v>0</v>
      </c>
      <c r="AA45" s="13">
        <v>0</v>
      </c>
      <c r="AB45" s="13">
        <v>1</v>
      </c>
      <c r="AC45" s="13">
        <v>0</v>
      </c>
      <c r="AD45" s="13">
        <v>0</v>
      </c>
      <c r="AE45" s="13">
        <v>1</v>
      </c>
      <c r="AF45" s="13" t="s">
        <v>59</v>
      </c>
      <c r="AG45" s="13" t="s">
        <v>59</v>
      </c>
      <c r="AH45" s="13" t="s">
        <v>59</v>
      </c>
      <c r="AI45" s="13" t="s">
        <v>59</v>
      </c>
      <c r="AJ45" s="13">
        <v>0</v>
      </c>
      <c r="AK45" s="13">
        <v>1</v>
      </c>
      <c r="AL45" s="13">
        <v>1</v>
      </c>
      <c r="AM45" s="13">
        <v>1</v>
      </c>
      <c r="AN45" s="13">
        <v>0</v>
      </c>
      <c r="AO45" s="9" t="s">
        <v>59</v>
      </c>
      <c r="AP45" s="9" t="s">
        <v>59</v>
      </c>
      <c r="AQ45" s="9" t="s">
        <v>59</v>
      </c>
      <c r="AR45" s="13"/>
      <c r="AS45" s="13"/>
      <c r="AT45" s="13"/>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row>
    <row r="46" spans="1:155" s="9" customFormat="1" ht="13.75" customHeight="1">
      <c r="A46" s="28" t="s">
        <v>364</v>
      </c>
      <c r="B46" s="28" t="s">
        <v>365</v>
      </c>
      <c r="C46" s="28" t="s">
        <v>366</v>
      </c>
      <c r="D46" s="28" t="s">
        <v>367</v>
      </c>
      <c r="E46" s="28" t="s">
        <v>368</v>
      </c>
      <c r="F46" s="28">
        <v>2024</v>
      </c>
      <c r="G46" s="77" t="s">
        <v>1095</v>
      </c>
      <c r="H46" s="34" t="s">
        <v>369</v>
      </c>
      <c r="I46" s="34" t="s">
        <v>370</v>
      </c>
      <c r="J46" s="13">
        <v>1</v>
      </c>
      <c r="K46" s="13">
        <v>0</v>
      </c>
      <c r="L46" s="13">
        <v>0</v>
      </c>
      <c r="M46" s="13">
        <v>1</v>
      </c>
      <c r="N46" s="13">
        <v>1</v>
      </c>
      <c r="O46" s="13">
        <v>0</v>
      </c>
      <c r="P46" s="13">
        <v>0</v>
      </c>
      <c r="Q46" s="37">
        <v>0</v>
      </c>
      <c r="R46" s="13">
        <v>0</v>
      </c>
      <c r="S46" s="13">
        <v>1</v>
      </c>
      <c r="T46" s="13">
        <v>0</v>
      </c>
      <c r="U46" s="13">
        <v>0</v>
      </c>
      <c r="V46" s="13">
        <v>0</v>
      </c>
      <c r="W46" s="13">
        <v>1</v>
      </c>
      <c r="X46" s="13">
        <v>0</v>
      </c>
      <c r="Y46" s="13">
        <v>0</v>
      </c>
      <c r="Z46" s="13">
        <v>0</v>
      </c>
      <c r="AA46" s="13">
        <v>0</v>
      </c>
      <c r="AB46" s="13">
        <v>0</v>
      </c>
      <c r="AC46" s="13">
        <v>0</v>
      </c>
      <c r="AD46" s="13">
        <v>0</v>
      </c>
      <c r="AE46" s="13">
        <v>1</v>
      </c>
      <c r="AF46" s="13" t="s">
        <v>59</v>
      </c>
      <c r="AG46" s="13" t="s">
        <v>59</v>
      </c>
      <c r="AH46" s="13" t="s">
        <v>59</v>
      </c>
      <c r="AI46" s="13" t="s">
        <v>59</v>
      </c>
      <c r="AJ46" s="13">
        <v>0</v>
      </c>
      <c r="AK46" s="13">
        <v>0</v>
      </c>
      <c r="AL46" s="13">
        <v>1</v>
      </c>
      <c r="AM46" s="13">
        <v>1</v>
      </c>
      <c r="AN46" s="13">
        <v>0</v>
      </c>
      <c r="AO46" s="9" t="s">
        <v>59</v>
      </c>
      <c r="AP46" s="9" t="s">
        <v>59</v>
      </c>
      <c r="AQ46" s="9" t="s">
        <v>59</v>
      </c>
      <c r="AR46" s="13"/>
      <c r="AS46" s="13"/>
      <c r="AT46" s="13"/>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row>
    <row r="47" spans="1:155" s="9" customFormat="1" ht="13.75" customHeight="1">
      <c r="A47" s="42" t="s">
        <v>371</v>
      </c>
      <c r="B47" s="42" t="s">
        <v>372</v>
      </c>
      <c r="C47" s="42" t="s">
        <v>373</v>
      </c>
      <c r="D47" s="42"/>
      <c r="E47" s="42" t="s">
        <v>374</v>
      </c>
      <c r="F47" s="42">
        <v>2024</v>
      </c>
      <c r="G47" s="78" t="s">
        <v>1096</v>
      </c>
      <c r="H47" s="43" t="s">
        <v>124</v>
      </c>
      <c r="I47" s="43" t="s">
        <v>375</v>
      </c>
      <c r="J47" s="44">
        <v>1</v>
      </c>
      <c r="K47" s="44">
        <v>0</v>
      </c>
      <c r="L47" s="44">
        <v>0</v>
      </c>
      <c r="M47" s="44">
        <v>1</v>
      </c>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v>1</v>
      </c>
      <c r="AN47" s="44">
        <v>0</v>
      </c>
      <c r="AO47" s="44">
        <v>0</v>
      </c>
      <c r="AP47" s="44">
        <v>0</v>
      </c>
      <c r="AQ47" s="44">
        <v>1</v>
      </c>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row>
    <row r="48" spans="1:155" s="9" customFormat="1" ht="13.75" customHeight="1">
      <c r="A48" s="28" t="s">
        <v>376</v>
      </c>
      <c r="B48" s="28" t="s">
        <v>377</v>
      </c>
      <c r="C48" s="28" t="s">
        <v>378</v>
      </c>
      <c r="D48" s="28" t="s">
        <v>379</v>
      </c>
      <c r="E48" s="28"/>
      <c r="F48" s="28">
        <v>2024</v>
      </c>
      <c r="G48" s="77" t="s">
        <v>1097</v>
      </c>
      <c r="H48" s="34" t="s">
        <v>380</v>
      </c>
      <c r="I48" s="34" t="s">
        <v>381</v>
      </c>
      <c r="J48" s="13">
        <v>1</v>
      </c>
      <c r="K48" s="13">
        <v>0</v>
      </c>
      <c r="L48" s="13">
        <v>0</v>
      </c>
      <c r="M48" s="13">
        <v>1</v>
      </c>
      <c r="N48" s="13">
        <v>1</v>
      </c>
      <c r="O48" s="13">
        <v>0</v>
      </c>
      <c r="P48" s="13">
        <v>0</v>
      </c>
      <c r="Q48" s="37">
        <v>1</v>
      </c>
      <c r="R48" s="13">
        <v>0</v>
      </c>
      <c r="S48" s="13">
        <v>1</v>
      </c>
      <c r="T48" s="13">
        <v>0</v>
      </c>
      <c r="U48" s="13">
        <v>0</v>
      </c>
      <c r="V48" s="13">
        <v>0</v>
      </c>
      <c r="W48" s="13">
        <v>0</v>
      </c>
      <c r="X48" s="13">
        <v>0</v>
      </c>
      <c r="Y48" s="13">
        <v>0</v>
      </c>
      <c r="Z48" s="13">
        <v>0</v>
      </c>
      <c r="AA48" s="13">
        <v>0</v>
      </c>
      <c r="AB48" s="13">
        <v>1</v>
      </c>
      <c r="AC48" s="13">
        <v>0</v>
      </c>
      <c r="AD48" s="13">
        <v>0</v>
      </c>
      <c r="AE48" s="13">
        <v>0</v>
      </c>
      <c r="AF48" s="13" t="s">
        <v>59</v>
      </c>
      <c r="AG48" s="13" t="s">
        <v>59</v>
      </c>
      <c r="AH48" s="13" t="s">
        <v>59</v>
      </c>
      <c r="AI48" s="13" t="s">
        <v>59</v>
      </c>
      <c r="AJ48" s="13">
        <v>0</v>
      </c>
      <c r="AK48" s="13">
        <v>0</v>
      </c>
      <c r="AL48" s="13">
        <v>1</v>
      </c>
      <c r="AM48" s="13">
        <v>1</v>
      </c>
      <c r="AN48" s="13">
        <v>0</v>
      </c>
      <c r="AO48" s="9" t="s">
        <v>59</v>
      </c>
      <c r="AP48" s="9" t="s">
        <v>59</v>
      </c>
      <c r="AQ48" s="9" t="s">
        <v>59</v>
      </c>
      <c r="AR48" s="13"/>
      <c r="AS48" s="13"/>
      <c r="AT48" s="13"/>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row>
    <row r="49" spans="1:155" s="9" customFormat="1" ht="13.75" customHeight="1">
      <c r="A49" s="28" t="s">
        <v>382</v>
      </c>
      <c r="B49" s="28" t="s">
        <v>383</v>
      </c>
      <c r="C49" s="28" t="s">
        <v>384</v>
      </c>
      <c r="D49" s="28" t="s">
        <v>385</v>
      </c>
      <c r="E49" s="28" t="s">
        <v>386</v>
      </c>
      <c r="F49" s="28">
        <v>2024</v>
      </c>
      <c r="G49" s="77" t="s">
        <v>1098</v>
      </c>
      <c r="H49" s="34" t="s">
        <v>387</v>
      </c>
      <c r="I49" s="34" t="s">
        <v>388</v>
      </c>
      <c r="J49" s="13">
        <v>1</v>
      </c>
      <c r="K49" s="13">
        <v>0</v>
      </c>
      <c r="L49" s="13">
        <v>0</v>
      </c>
      <c r="M49" s="13">
        <v>1</v>
      </c>
      <c r="N49" s="13" t="s">
        <v>59</v>
      </c>
      <c r="O49" s="13" t="s">
        <v>59</v>
      </c>
      <c r="P49" s="13" t="s">
        <v>59</v>
      </c>
      <c r="Q49" s="37" t="s">
        <v>59</v>
      </c>
      <c r="R49" s="13" t="s">
        <v>59</v>
      </c>
      <c r="S49" s="13" t="s">
        <v>59</v>
      </c>
      <c r="T49" s="13">
        <v>0</v>
      </c>
      <c r="U49" s="13">
        <v>0</v>
      </c>
      <c r="V49" s="13">
        <v>0</v>
      </c>
      <c r="W49" s="13">
        <v>0</v>
      </c>
      <c r="X49" s="13">
        <v>0</v>
      </c>
      <c r="Y49" s="13">
        <v>0</v>
      </c>
      <c r="Z49" s="13">
        <v>1</v>
      </c>
      <c r="AA49" s="13">
        <v>0</v>
      </c>
      <c r="AB49" s="13">
        <v>0</v>
      </c>
      <c r="AC49" s="13">
        <v>0</v>
      </c>
      <c r="AD49" s="13">
        <v>0</v>
      </c>
      <c r="AE49" s="13">
        <v>0</v>
      </c>
      <c r="AF49" s="13">
        <v>0</v>
      </c>
      <c r="AG49" s="13">
        <v>1</v>
      </c>
      <c r="AH49" s="13">
        <v>1</v>
      </c>
      <c r="AI49" s="13">
        <v>1</v>
      </c>
      <c r="AJ49" s="13">
        <v>0</v>
      </c>
      <c r="AK49" s="13">
        <v>0</v>
      </c>
      <c r="AL49" s="13">
        <v>1</v>
      </c>
      <c r="AM49" s="13">
        <v>1</v>
      </c>
      <c r="AN49" s="13">
        <v>0</v>
      </c>
      <c r="AO49" s="9" t="s">
        <v>59</v>
      </c>
      <c r="AP49" s="9" t="s">
        <v>59</v>
      </c>
      <c r="AQ49" s="9" t="s">
        <v>59</v>
      </c>
      <c r="AR49" s="13"/>
      <c r="AS49" s="13"/>
      <c r="AT49" s="13"/>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row>
    <row r="50" spans="1:155" s="9" customFormat="1" ht="13.75" customHeight="1">
      <c r="A50" s="28" t="s">
        <v>389</v>
      </c>
      <c r="B50" s="28" t="s">
        <v>390</v>
      </c>
      <c r="C50" s="28" t="s">
        <v>391</v>
      </c>
      <c r="D50" s="28"/>
      <c r="E50" s="28" t="s">
        <v>392</v>
      </c>
      <c r="F50" s="28">
        <v>2024</v>
      </c>
      <c r="G50" s="77" t="s">
        <v>1099</v>
      </c>
      <c r="H50" s="34" t="s">
        <v>183</v>
      </c>
      <c r="I50" s="34" t="s">
        <v>393</v>
      </c>
      <c r="J50" s="13">
        <v>1</v>
      </c>
      <c r="K50" s="13">
        <v>1</v>
      </c>
      <c r="L50" s="13">
        <v>0</v>
      </c>
      <c r="M50" s="13">
        <v>1</v>
      </c>
      <c r="N50" s="13">
        <v>1</v>
      </c>
      <c r="O50" s="13">
        <v>0</v>
      </c>
      <c r="P50" s="13">
        <v>0</v>
      </c>
      <c r="Q50" s="37" t="s">
        <v>59</v>
      </c>
      <c r="R50" s="13" t="s">
        <v>59</v>
      </c>
      <c r="S50" s="13" t="s">
        <v>59</v>
      </c>
      <c r="T50" s="13">
        <v>1</v>
      </c>
      <c r="U50" s="13">
        <v>0</v>
      </c>
      <c r="V50" s="13">
        <v>0</v>
      </c>
      <c r="W50" s="13">
        <v>0</v>
      </c>
      <c r="X50" s="13">
        <v>0</v>
      </c>
      <c r="Y50" s="13">
        <v>0</v>
      </c>
      <c r="Z50" s="13">
        <v>0</v>
      </c>
      <c r="AA50" s="13">
        <v>0</v>
      </c>
      <c r="AB50" s="13">
        <v>1</v>
      </c>
      <c r="AC50" s="13">
        <v>0</v>
      </c>
      <c r="AD50" s="13">
        <v>0</v>
      </c>
      <c r="AE50" s="13">
        <v>0</v>
      </c>
      <c r="AF50" s="13" t="s">
        <v>59</v>
      </c>
      <c r="AG50" s="13" t="s">
        <v>59</v>
      </c>
      <c r="AH50" s="13" t="s">
        <v>59</v>
      </c>
      <c r="AI50" s="13" t="s">
        <v>59</v>
      </c>
      <c r="AJ50" s="13">
        <v>0</v>
      </c>
      <c r="AK50" s="13">
        <v>0</v>
      </c>
      <c r="AL50" s="13">
        <v>1</v>
      </c>
      <c r="AM50" s="13">
        <v>1</v>
      </c>
      <c r="AN50" s="13">
        <v>0</v>
      </c>
      <c r="AO50" s="9" t="s">
        <v>59</v>
      </c>
      <c r="AP50" s="9" t="s">
        <v>59</v>
      </c>
      <c r="AQ50" s="9" t="s">
        <v>59</v>
      </c>
      <c r="AR50" s="13"/>
      <c r="AS50" s="13"/>
      <c r="AT50" s="13"/>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row>
    <row r="51" spans="1:155" s="9" customFormat="1" ht="13.75" customHeight="1">
      <c r="A51" s="28" t="s">
        <v>394</v>
      </c>
      <c r="B51" s="28" t="s">
        <v>395</v>
      </c>
      <c r="C51" s="28" t="s">
        <v>373</v>
      </c>
      <c r="D51" s="28"/>
      <c r="E51" s="28" t="s">
        <v>396</v>
      </c>
      <c r="F51" s="28">
        <v>2024</v>
      </c>
      <c r="G51" s="77" t="s">
        <v>1100</v>
      </c>
      <c r="H51" s="34" t="s">
        <v>124</v>
      </c>
      <c r="I51" s="34" t="s">
        <v>397</v>
      </c>
      <c r="J51" s="13">
        <v>1</v>
      </c>
      <c r="K51" s="13">
        <v>0</v>
      </c>
      <c r="L51" s="13">
        <v>0</v>
      </c>
      <c r="M51" s="13">
        <v>1</v>
      </c>
      <c r="N51" s="13">
        <v>0</v>
      </c>
      <c r="O51" s="13">
        <v>0</v>
      </c>
      <c r="P51" s="13">
        <v>1</v>
      </c>
      <c r="Q51" s="37">
        <v>0</v>
      </c>
      <c r="R51" s="13">
        <v>0</v>
      </c>
      <c r="S51" s="13">
        <v>1</v>
      </c>
      <c r="T51" s="13">
        <v>0</v>
      </c>
      <c r="U51" s="13">
        <v>0</v>
      </c>
      <c r="V51" s="13">
        <v>0</v>
      </c>
      <c r="W51" s="13">
        <v>0</v>
      </c>
      <c r="X51" s="13">
        <v>0</v>
      </c>
      <c r="Y51" s="13">
        <v>0</v>
      </c>
      <c r="Z51" s="13">
        <v>0</v>
      </c>
      <c r="AA51" s="13">
        <v>0</v>
      </c>
      <c r="AB51" s="13">
        <v>0</v>
      </c>
      <c r="AC51" s="13">
        <v>0</v>
      </c>
      <c r="AD51" s="13">
        <v>0</v>
      </c>
      <c r="AE51" s="13">
        <v>1</v>
      </c>
      <c r="AF51" s="13" t="s">
        <v>59</v>
      </c>
      <c r="AG51" s="13" t="s">
        <v>59</v>
      </c>
      <c r="AH51" s="13" t="s">
        <v>59</v>
      </c>
      <c r="AI51" s="13" t="s">
        <v>59</v>
      </c>
      <c r="AJ51" s="13">
        <v>0</v>
      </c>
      <c r="AK51" s="13">
        <v>0</v>
      </c>
      <c r="AL51" s="13">
        <v>1</v>
      </c>
      <c r="AM51" s="13">
        <v>1</v>
      </c>
      <c r="AN51" s="13">
        <v>0</v>
      </c>
      <c r="AO51" s="9" t="s">
        <v>59</v>
      </c>
      <c r="AP51" s="9" t="s">
        <v>59</v>
      </c>
      <c r="AQ51" s="9" t="s">
        <v>59</v>
      </c>
      <c r="AR51" s="13"/>
      <c r="AS51" s="13"/>
      <c r="AT51" s="13"/>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row>
    <row r="52" spans="1:155" s="9" customFormat="1" ht="13.75" customHeight="1">
      <c r="A52" s="28" t="s">
        <v>398</v>
      </c>
      <c r="B52" s="28" t="s">
        <v>399</v>
      </c>
      <c r="C52" s="28" t="s">
        <v>400</v>
      </c>
      <c r="D52" s="28"/>
      <c r="E52" s="28" t="s">
        <v>401</v>
      </c>
      <c r="F52" s="28">
        <v>2024</v>
      </c>
      <c r="G52" s="77" t="s">
        <v>1101</v>
      </c>
      <c r="H52" s="34" t="s">
        <v>402</v>
      </c>
      <c r="I52" s="34" t="s">
        <v>403</v>
      </c>
      <c r="J52" s="13">
        <v>1</v>
      </c>
      <c r="K52" s="13">
        <v>0</v>
      </c>
      <c r="L52" s="13">
        <v>0</v>
      </c>
      <c r="M52" s="13">
        <v>1</v>
      </c>
      <c r="N52" s="13">
        <v>1</v>
      </c>
      <c r="O52" s="13">
        <v>0</v>
      </c>
      <c r="P52" s="13">
        <v>0</v>
      </c>
      <c r="Q52" s="37" t="s">
        <v>59</v>
      </c>
      <c r="R52" s="13" t="s">
        <v>59</v>
      </c>
      <c r="S52" s="13" t="s">
        <v>59</v>
      </c>
      <c r="T52" s="13">
        <v>1</v>
      </c>
      <c r="U52" s="13">
        <v>0</v>
      </c>
      <c r="V52" s="13">
        <v>0</v>
      </c>
      <c r="W52" s="13">
        <v>0</v>
      </c>
      <c r="X52" s="13">
        <v>0</v>
      </c>
      <c r="Y52" s="13">
        <v>0</v>
      </c>
      <c r="Z52" s="13">
        <v>0</v>
      </c>
      <c r="AA52" s="13">
        <v>0</v>
      </c>
      <c r="AB52" s="13">
        <v>1</v>
      </c>
      <c r="AC52" s="13">
        <v>0</v>
      </c>
      <c r="AD52" s="13">
        <v>0</v>
      </c>
      <c r="AE52" s="13">
        <v>0</v>
      </c>
      <c r="AF52" s="13">
        <v>0</v>
      </c>
      <c r="AG52" s="13">
        <v>1</v>
      </c>
      <c r="AH52" s="13">
        <v>1</v>
      </c>
      <c r="AI52" s="13" t="s">
        <v>59</v>
      </c>
      <c r="AJ52" s="13">
        <v>0</v>
      </c>
      <c r="AK52" s="13">
        <v>0</v>
      </c>
      <c r="AL52" s="13">
        <v>1</v>
      </c>
      <c r="AM52" s="13">
        <v>1</v>
      </c>
      <c r="AN52" s="13">
        <v>0</v>
      </c>
      <c r="AO52" s="9" t="s">
        <v>59</v>
      </c>
      <c r="AP52" s="9" t="s">
        <v>59</v>
      </c>
      <c r="AQ52" s="9" t="s">
        <v>59</v>
      </c>
      <c r="AR52" s="13"/>
      <c r="AS52" s="13"/>
      <c r="AT52" s="13"/>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row>
    <row r="53" spans="1:155" s="9" customFormat="1" ht="13.75" customHeight="1">
      <c r="A53" s="28" t="s">
        <v>404</v>
      </c>
      <c r="B53" s="28" t="s">
        <v>405</v>
      </c>
      <c r="C53" s="28" t="s">
        <v>406</v>
      </c>
      <c r="D53" s="28" t="s">
        <v>407</v>
      </c>
      <c r="E53" s="28" t="s">
        <v>408</v>
      </c>
      <c r="F53" s="28">
        <v>2024</v>
      </c>
      <c r="G53" s="77" t="s">
        <v>1101</v>
      </c>
      <c r="H53" s="34" t="s">
        <v>75</v>
      </c>
      <c r="I53" s="34" t="s">
        <v>409</v>
      </c>
      <c r="J53" s="13">
        <v>1</v>
      </c>
      <c r="K53" s="13">
        <v>0</v>
      </c>
      <c r="L53" s="13">
        <v>0</v>
      </c>
      <c r="M53" s="13">
        <v>1</v>
      </c>
      <c r="N53" s="13">
        <v>1</v>
      </c>
      <c r="O53" s="13">
        <v>0</v>
      </c>
      <c r="P53" s="13">
        <v>0</v>
      </c>
      <c r="Q53" s="37" t="s">
        <v>59</v>
      </c>
      <c r="R53" s="13" t="s">
        <v>59</v>
      </c>
      <c r="S53" s="13" t="s">
        <v>59</v>
      </c>
      <c r="T53" s="13">
        <v>0</v>
      </c>
      <c r="U53" s="13">
        <v>0</v>
      </c>
      <c r="V53" s="13">
        <v>0</v>
      </c>
      <c r="W53" s="13">
        <v>0</v>
      </c>
      <c r="X53" s="13">
        <v>0</v>
      </c>
      <c r="Y53" s="13">
        <v>0</v>
      </c>
      <c r="Z53" s="13">
        <v>0</v>
      </c>
      <c r="AA53" s="13">
        <v>0</v>
      </c>
      <c r="AB53" s="13">
        <v>1</v>
      </c>
      <c r="AC53" s="13">
        <v>0</v>
      </c>
      <c r="AD53" s="13">
        <v>0</v>
      </c>
      <c r="AE53" s="13">
        <v>0</v>
      </c>
      <c r="AF53" s="13" t="s">
        <v>59</v>
      </c>
      <c r="AG53" s="13" t="s">
        <v>59</v>
      </c>
      <c r="AH53" s="13" t="s">
        <v>59</v>
      </c>
      <c r="AI53" s="13" t="s">
        <v>59</v>
      </c>
      <c r="AJ53" s="13">
        <v>0</v>
      </c>
      <c r="AK53" s="13">
        <v>0</v>
      </c>
      <c r="AL53" s="13">
        <v>1</v>
      </c>
      <c r="AM53" s="13">
        <v>1</v>
      </c>
      <c r="AN53" s="13">
        <v>0</v>
      </c>
      <c r="AO53" s="9" t="s">
        <v>59</v>
      </c>
      <c r="AP53" s="9" t="s">
        <v>59</v>
      </c>
      <c r="AQ53" s="9" t="s">
        <v>59</v>
      </c>
      <c r="AR53" s="13"/>
      <c r="AS53" s="13"/>
      <c r="AT53" s="13"/>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row>
    <row r="54" spans="1:155" s="9" customFormat="1" ht="13.75" customHeight="1">
      <c r="A54" s="28" t="s">
        <v>410</v>
      </c>
      <c r="B54" s="28" t="s">
        <v>411</v>
      </c>
      <c r="C54" s="28" t="s">
        <v>412</v>
      </c>
      <c r="D54" s="28" t="s">
        <v>413</v>
      </c>
      <c r="E54" s="28" t="s">
        <v>414</v>
      </c>
      <c r="F54" s="28">
        <v>2024</v>
      </c>
      <c r="G54" s="77" t="s">
        <v>1102</v>
      </c>
      <c r="H54" s="34" t="s">
        <v>415</v>
      </c>
      <c r="I54" s="34" t="s">
        <v>416</v>
      </c>
      <c r="J54" s="13">
        <v>1</v>
      </c>
      <c r="K54" s="13">
        <v>0</v>
      </c>
      <c r="L54" s="13">
        <v>0</v>
      </c>
      <c r="M54" s="13">
        <v>1</v>
      </c>
      <c r="N54" s="13">
        <v>1</v>
      </c>
      <c r="O54" s="13">
        <v>0</v>
      </c>
      <c r="P54" s="13">
        <v>0</v>
      </c>
      <c r="Q54" s="37" t="s">
        <v>59</v>
      </c>
      <c r="R54" s="13" t="s">
        <v>59</v>
      </c>
      <c r="S54" s="13" t="s">
        <v>59</v>
      </c>
      <c r="T54" s="13">
        <v>0</v>
      </c>
      <c r="U54" s="13">
        <v>0</v>
      </c>
      <c r="V54" s="13">
        <v>0</v>
      </c>
      <c r="W54" s="13">
        <v>0</v>
      </c>
      <c r="X54" s="13">
        <v>0</v>
      </c>
      <c r="Y54" s="13">
        <v>0</v>
      </c>
      <c r="Z54" s="13">
        <v>0</v>
      </c>
      <c r="AA54" s="13">
        <v>1</v>
      </c>
      <c r="AB54" s="13">
        <v>0</v>
      </c>
      <c r="AC54" s="13">
        <v>0</v>
      </c>
      <c r="AD54" s="13">
        <v>0</v>
      </c>
      <c r="AE54" s="13">
        <v>0</v>
      </c>
      <c r="AF54" s="13" t="s">
        <v>59</v>
      </c>
      <c r="AG54" s="13" t="s">
        <v>59</v>
      </c>
      <c r="AH54" s="13" t="s">
        <v>59</v>
      </c>
      <c r="AI54" s="13" t="s">
        <v>59</v>
      </c>
      <c r="AJ54" s="13">
        <v>0</v>
      </c>
      <c r="AK54" s="13">
        <v>0</v>
      </c>
      <c r="AL54" s="13">
        <v>1</v>
      </c>
      <c r="AM54" s="13">
        <v>1</v>
      </c>
      <c r="AN54" s="13">
        <v>0</v>
      </c>
      <c r="AO54" s="9" t="s">
        <v>59</v>
      </c>
      <c r="AP54" s="9" t="s">
        <v>59</v>
      </c>
      <c r="AQ54" s="9" t="s">
        <v>59</v>
      </c>
      <c r="AR54" s="13"/>
      <c r="AS54" s="13"/>
      <c r="AT54" s="13"/>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row>
    <row r="55" spans="1:155" s="9" customFormat="1" ht="13.75" customHeight="1">
      <c r="A55" s="28" t="s">
        <v>417</v>
      </c>
      <c r="B55" s="28" t="s">
        <v>418</v>
      </c>
      <c r="C55" s="28" t="s">
        <v>419</v>
      </c>
      <c r="D55" s="28" t="s">
        <v>420</v>
      </c>
      <c r="E55" s="28" t="s">
        <v>421</v>
      </c>
      <c r="F55" s="28">
        <v>2024</v>
      </c>
      <c r="G55" s="77" t="s">
        <v>1103</v>
      </c>
      <c r="H55" s="34" t="s">
        <v>159</v>
      </c>
      <c r="I55" s="34" t="s">
        <v>422</v>
      </c>
      <c r="J55" s="13">
        <v>1</v>
      </c>
      <c r="K55" s="13">
        <v>0</v>
      </c>
      <c r="L55" s="13">
        <v>0</v>
      </c>
      <c r="M55" s="13">
        <v>1</v>
      </c>
      <c r="N55" s="13">
        <v>1</v>
      </c>
      <c r="O55" s="13">
        <v>1</v>
      </c>
      <c r="P55" s="13">
        <v>0</v>
      </c>
      <c r="Q55" s="37" t="s">
        <v>59</v>
      </c>
      <c r="R55" s="13" t="s">
        <v>59</v>
      </c>
      <c r="S55" s="13" t="s">
        <v>59</v>
      </c>
      <c r="T55" s="13">
        <v>0</v>
      </c>
      <c r="U55" s="13">
        <v>0</v>
      </c>
      <c r="V55" s="13">
        <v>0</v>
      </c>
      <c r="W55" s="13">
        <v>0</v>
      </c>
      <c r="X55" s="13">
        <v>0</v>
      </c>
      <c r="Y55" s="13">
        <v>0</v>
      </c>
      <c r="Z55" s="13">
        <v>0</v>
      </c>
      <c r="AA55" s="13">
        <v>0</v>
      </c>
      <c r="AB55" s="13">
        <v>0</v>
      </c>
      <c r="AC55" s="13">
        <v>0</v>
      </c>
      <c r="AD55" s="13">
        <v>0</v>
      </c>
      <c r="AE55" s="13">
        <v>1</v>
      </c>
      <c r="AF55" s="13">
        <v>0</v>
      </c>
      <c r="AG55" s="13">
        <v>1</v>
      </c>
      <c r="AH55" s="13">
        <v>0</v>
      </c>
      <c r="AI55" s="13">
        <v>1</v>
      </c>
      <c r="AJ55" s="13">
        <v>0</v>
      </c>
      <c r="AK55" s="13">
        <v>0</v>
      </c>
      <c r="AL55" s="13">
        <v>1</v>
      </c>
      <c r="AM55" s="13">
        <v>1</v>
      </c>
      <c r="AN55" s="13">
        <v>0</v>
      </c>
      <c r="AO55" s="9" t="s">
        <v>59</v>
      </c>
      <c r="AP55" s="9" t="s">
        <v>59</v>
      </c>
      <c r="AQ55" s="9" t="s">
        <v>59</v>
      </c>
      <c r="AR55" s="13"/>
      <c r="AS55" s="13"/>
      <c r="AT55" s="13"/>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row>
    <row r="56" spans="1:155" s="9" customFormat="1" ht="13.75" customHeight="1">
      <c r="A56" s="28" t="s">
        <v>424</v>
      </c>
      <c r="B56" s="28" t="s">
        <v>425</v>
      </c>
      <c r="C56" s="28" t="s">
        <v>228</v>
      </c>
      <c r="D56" s="28" t="s">
        <v>426</v>
      </c>
      <c r="E56" s="28" t="s">
        <v>427</v>
      </c>
      <c r="F56" s="28">
        <v>2024</v>
      </c>
      <c r="G56" s="79" t="s">
        <v>1104</v>
      </c>
      <c r="H56" s="34" t="s">
        <v>105</v>
      </c>
      <c r="I56" s="80" t="s">
        <v>428</v>
      </c>
      <c r="J56" s="13">
        <v>1</v>
      </c>
      <c r="K56" s="13">
        <v>0</v>
      </c>
      <c r="L56" s="13">
        <v>1</v>
      </c>
      <c r="M56" s="13">
        <v>0</v>
      </c>
      <c r="N56" s="13" t="s">
        <v>59</v>
      </c>
      <c r="O56" s="13" t="s">
        <v>59</v>
      </c>
      <c r="P56" s="13" t="s">
        <v>59</v>
      </c>
      <c r="Q56" s="37" t="s">
        <v>59</v>
      </c>
      <c r="R56" s="13" t="s">
        <v>59</v>
      </c>
      <c r="S56" s="13" t="s">
        <v>59</v>
      </c>
      <c r="T56" s="13">
        <v>0</v>
      </c>
      <c r="U56" s="13">
        <v>0</v>
      </c>
      <c r="V56" s="13">
        <v>0</v>
      </c>
      <c r="W56" s="13">
        <v>0</v>
      </c>
      <c r="X56" s="13">
        <v>0</v>
      </c>
      <c r="Y56" s="13">
        <v>0</v>
      </c>
      <c r="Z56" s="13">
        <v>0</v>
      </c>
      <c r="AA56" s="13">
        <v>0</v>
      </c>
      <c r="AB56" s="13">
        <v>0</v>
      </c>
      <c r="AC56" s="13">
        <v>0</v>
      </c>
      <c r="AD56" s="13">
        <v>0</v>
      </c>
      <c r="AE56" s="13">
        <v>1</v>
      </c>
      <c r="AF56" s="13">
        <v>0</v>
      </c>
      <c r="AG56" s="13">
        <v>1</v>
      </c>
      <c r="AH56" s="13">
        <v>0</v>
      </c>
      <c r="AI56" s="13">
        <v>1</v>
      </c>
      <c r="AJ56" s="13">
        <v>0</v>
      </c>
      <c r="AK56" s="13">
        <v>0</v>
      </c>
      <c r="AL56" s="13">
        <v>1</v>
      </c>
      <c r="AM56" s="13">
        <v>1</v>
      </c>
      <c r="AN56" s="13">
        <v>0</v>
      </c>
      <c r="AO56" s="9" t="s">
        <v>59</v>
      </c>
      <c r="AP56" s="9" t="s">
        <v>59</v>
      </c>
      <c r="AQ56" s="9" t="s">
        <v>59</v>
      </c>
      <c r="AR56" s="13"/>
      <c r="AS56" s="13"/>
      <c r="AT56" s="13"/>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row>
    <row r="57" spans="1:155" s="9" customFormat="1" ht="13.75" customHeight="1">
      <c r="A57" s="28" t="s">
        <v>429</v>
      </c>
      <c r="B57" s="28" t="s">
        <v>430</v>
      </c>
      <c r="C57" s="28" t="s">
        <v>101</v>
      </c>
      <c r="D57" s="28" t="s">
        <v>431</v>
      </c>
      <c r="E57" s="28" t="s">
        <v>432</v>
      </c>
      <c r="F57" s="28">
        <v>2024</v>
      </c>
      <c r="G57" s="77" t="s">
        <v>1105</v>
      </c>
      <c r="H57" s="34" t="s">
        <v>105</v>
      </c>
      <c r="I57" s="34" t="s">
        <v>433</v>
      </c>
      <c r="J57" s="13">
        <v>1</v>
      </c>
      <c r="K57" s="13">
        <v>0</v>
      </c>
      <c r="L57" s="13">
        <v>0</v>
      </c>
      <c r="M57" s="13">
        <v>1</v>
      </c>
      <c r="N57" s="13" t="s">
        <v>59</v>
      </c>
      <c r="O57" s="13" t="s">
        <v>59</v>
      </c>
      <c r="P57" s="13" t="s">
        <v>59</v>
      </c>
      <c r="Q57" s="37" t="s">
        <v>59</v>
      </c>
      <c r="R57" s="13" t="s">
        <v>59</v>
      </c>
      <c r="S57" s="13" t="s">
        <v>59</v>
      </c>
      <c r="T57" s="13">
        <v>0</v>
      </c>
      <c r="U57" s="13">
        <v>0</v>
      </c>
      <c r="V57" s="13">
        <v>0</v>
      </c>
      <c r="W57" s="13">
        <v>0</v>
      </c>
      <c r="X57" s="13">
        <v>0</v>
      </c>
      <c r="Y57" s="13">
        <v>0</v>
      </c>
      <c r="Z57" s="13">
        <v>0</v>
      </c>
      <c r="AA57" s="13">
        <v>1</v>
      </c>
      <c r="AB57" s="13">
        <v>0</v>
      </c>
      <c r="AC57" s="13">
        <v>0</v>
      </c>
      <c r="AD57" s="13">
        <v>0</v>
      </c>
      <c r="AE57" s="13">
        <v>0</v>
      </c>
      <c r="AF57" s="13">
        <v>1</v>
      </c>
      <c r="AG57" s="13">
        <v>1</v>
      </c>
      <c r="AH57" s="13">
        <v>0</v>
      </c>
      <c r="AI57" s="13">
        <v>0</v>
      </c>
      <c r="AJ57" s="13">
        <v>0</v>
      </c>
      <c r="AK57" s="13">
        <v>0</v>
      </c>
      <c r="AL57" s="13">
        <v>1</v>
      </c>
      <c r="AM57" s="13">
        <v>1</v>
      </c>
      <c r="AN57" s="13">
        <v>0</v>
      </c>
      <c r="AO57" s="9" t="s">
        <v>59</v>
      </c>
      <c r="AP57" s="9" t="s">
        <v>59</v>
      </c>
      <c r="AQ57" s="9" t="s">
        <v>59</v>
      </c>
      <c r="AR57" s="13"/>
      <c r="AS57" s="13"/>
      <c r="AT57" s="13"/>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row>
    <row r="58" spans="1:155" s="9" customFormat="1" ht="13.75" customHeight="1">
      <c r="A58" s="28" t="s">
        <v>434</v>
      </c>
      <c r="B58" s="28" t="s">
        <v>435</v>
      </c>
      <c r="C58" s="28" t="s">
        <v>436</v>
      </c>
      <c r="D58" s="28" t="s">
        <v>437</v>
      </c>
      <c r="E58" s="28" t="s">
        <v>438</v>
      </c>
      <c r="F58" s="28">
        <v>2024</v>
      </c>
      <c r="G58" s="77" t="s">
        <v>1106</v>
      </c>
      <c r="H58" s="34" t="s">
        <v>124</v>
      </c>
      <c r="I58" s="34" t="s">
        <v>439</v>
      </c>
      <c r="J58" s="13">
        <v>1</v>
      </c>
      <c r="K58" s="13">
        <v>0</v>
      </c>
      <c r="L58" s="13">
        <v>0</v>
      </c>
      <c r="M58" s="13">
        <v>1</v>
      </c>
      <c r="N58" s="13">
        <v>1</v>
      </c>
      <c r="O58" s="13">
        <v>0</v>
      </c>
      <c r="P58" s="13">
        <v>0</v>
      </c>
      <c r="Q58" s="37" t="s">
        <v>59</v>
      </c>
      <c r="R58" s="13" t="s">
        <v>59</v>
      </c>
      <c r="S58" s="13" t="s">
        <v>59</v>
      </c>
      <c r="T58" s="13">
        <v>0</v>
      </c>
      <c r="U58" s="13">
        <v>0</v>
      </c>
      <c r="V58" s="13">
        <v>0</v>
      </c>
      <c r="W58" s="13">
        <v>0</v>
      </c>
      <c r="X58" s="13">
        <v>0</v>
      </c>
      <c r="Y58" s="13">
        <v>0</v>
      </c>
      <c r="Z58" s="13">
        <v>0</v>
      </c>
      <c r="AA58" s="13">
        <v>0</v>
      </c>
      <c r="AB58" s="13">
        <v>1</v>
      </c>
      <c r="AC58" s="13">
        <v>0</v>
      </c>
      <c r="AD58" s="13">
        <v>0</v>
      </c>
      <c r="AE58" s="13">
        <v>0</v>
      </c>
      <c r="AF58" s="13">
        <v>1</v>
      </c>
      <c r="AG58" s="13">
        <v>0</v>
      </c>
      <c r="AH58" s="13">
        <v>0</v>
      </c>
      <c r="AI58" s="13">
        <v>0</v>
      </c>
      <c r="AJ58" s="13">
        <v>0</v>
      </c>
      <c r="AK58" s="13">
        <v>0</v>
      </c>
      <c r="AL58" s="13">
        <v>1</v>
      </c>
      <c r="AM58" s="13">
        <v>1</v>
      </c>
      <c r="AN58" s="13">
        <v>0</v>
      </c>
      <c r="AO58" s="9" t="s">
        <v>59</v>
      </c>
      <c r="AP58" s="9" t="s">
        <v>59</v>
      </c>
      <c r="AQ58" s="9" t="s">
        <v>59</v>
      </c>
      <c r="AR58" s="13"/>
      <c r="AS58" s="13"/>
      <c r="AT58" s="13"/>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row>
    <row r="59" spans="1:155" s="9" customFormat="1" ht="13.75" customHeight="1">
      <c r="A59" s="28" t="s">
        <v>440</v>
      </c>
      <c r="B59" s="28" t="s">
        <v>441</v>
      </c>
      <c r="C59" s="28" t="s">
        <v>391</v>
      </c>
      <c r="D59" s="28"/>
      <c r="E59" s="28" t="s">
        <v>442</v>
      </c>
      <c r="F59" s="28">
        <v>2024</v>
      </c>
      <c r="G59" s="79" t="s">
        <v>1107</v>
      </c>
      <c r="H59" s="34" t="s">
        <v>183</v>
      </c>
      <c r="I59" s="34" t="s">
        <v>443</v>
      </c>
      <c r="J59" s="13">
        <v>1</v>
      </c>
      <c r="K59" s="13">
        <v>0</v>
      </c>
      <c r="L59" s="13">
        <v>0</v>
      </c>
      <c r="M59" s="13">
        <v>1</v>
      </c>
      <c r="N59" s="13">
        <v>1</v>
      </c>
      <c r="O59" s="13">
        <v>0</v>
      </c>
      <c r="P59" s="13">
        <v>0</v>
      </c>
      <c r="Q59" s="37">
        <v>0</v>
      </c>
      <c r="R59" s="13">
        <v>0</v>
      </c>
      <c r="S59" s="13">
        <v>1</v>
      </c>
      <c r="T59" s="13">
        <v>0</v>
      </c>
      <c r="U59" s="13">
        <v>0</v>
      </c>
      <c r="V59" s="13">
        <v>0</v>
      </c>
      <c r="W59" s="13">
        <v>0</v>
      </c>
      <c r="X59" s="13">
        <v>0</v>
      </c>
      <c r="Y59" s="13">
        <v>0</v>
      </c>
      <c r="Z59" s="13">
        <v>0</v>
      </c>
      <c r="AA59" s="13">
        <v>0</v>
      </c>
      <c r="AB59" s="13">
        <v>0</v>
      </c>
      <c r="AC59" s="13">
        <v>0</v>
      </c>
      <c r="AD59" s="13">
        <v>0</v>
      </c>
      <c r="AE59" s="13">
        <v>1</v>
      </c>
      <c r="AF59" s="13">
        <v>0</v>
      </c>
      <c r="AG59" s="13">
        <v>1</v>
      </c>
      <c r="AH59" s="13">
        <v>0</v>
      </c>
      <c r="AI59" s="13">
        <v>1</v>
      </c>
      <c r="AJ59" s="13">
        <v>0</v>
      </c>
      <c r="AK59" s="13">
        <v>1</v>
      </c>
      <c r="AL59" s="13">
        <v>1</v>
      </c>
      <c r="AM59" s="13">
        <v>1</v>
      </c>
      <c r="AN59" s="13">
        <v>0</v>
      </c>
      <c r="AO59" s="9" t="s">
        <v>59</v>
      </c>
      <c r="AP59" s="9" t="s">
        <v>59</v>
      </c>
      <c r="AQ59" s="9" t="s">
        <v>59</v>
      </c>
      <c r="AR59" s="13"/>
      <c r="AS59" s="13"/>
      <c r="AT59" s="13"/>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row>
    <row r="60" spans="1:155" s="9" customFormat="1" ht="13.75" customHeight="1">
      <c r="A60" s="28" t="s">
        <v>444</v>
      </c>
      <c r="B60" s="28" t="s">
        <v>445</v>
      </c>
      <c r="C60" s="28" t="s">
        <v>446</v>
      </c>
      <c r="D60" s="28" t="s">
        <v>447</v>
      </c>
      <c r="E60" s="28" t="s">
        <v>448</v>
      </c>
      <c r="F60" s="28">
        <v>2024</v>
      </c>
      <c r="G60" s="79" t="s">
        <v>1108</v>
      </c>
      <c r="H60" s="34" t="s">
        <v>75</v>
      </c>
      <c r="I60" s="34" t="s">
        <v>449</v>
      </c>
      <c r="J60" s="13">
        <v>1</v>
      </c>
      <c r="K60" s="13">
        <v>0</v>
      </c>
      <c r="L60" s="13">
        <v>0</v>
      </c>
      <c r="M60" s="13">
        <v>1</v>
      </c>
      <c r="N60" s="13" t="s">
        <v>59</v>
      </c>
      <c r="O60" s="13" t="s">
        <v>59</v>
      </c>
      <c r="P60" s="13" t="s">
        <v>59</v>
      </c>
      <c r="Q60" s="37" t="s">
        <v>59</v>
      </c>
      <c r="R60" s="13" t="s">
        <v>59</v>
      </c>
      <c r="S60" s="13" t="s">
        <v>59</v>
      </c>
      <c r="T60" s="13">
        <v>0</v>
      </c>
      <c r="U60" s="13">
        <v>0</v>
      </c>
      <c r="V60" s="13">
        <v>0</v>
      </c>
      <c r="W60" s="13">
        <v>0</v>
      </c>
      <c r="X60" s="13">
        <v>0</v>
      </c>
      <c r="Y60" s="13">
        <v>0</v>
      </c>
      <c r="Z60" s="13">
        <v>0</v>
      </c>
      <c r="AA60" s="13">
        <v>0</v>
      </c>
      <c r="AB60" s="13">
        <v>1</v>
      </c>
      <c r="AC60" s="13">
        <v>0</v>
      </c>
      <c r="AD60" s="13">
        <v>0</v>
      </c>
      <c r="AE60" s="13">
        <v>0</v>
      </c>
      <c r="AF60" s="13">
        <v>0</v>
      </c>
      <c r="AG60" s="13">
        <v>1</v>
      </c>
      <c r="AH60" s="13">
        <v>0</v>
      </c>
      <c r="AI60" s="13">
        <v>1</v>
      </c>
      <c r="AJ60" s="13">
        <v>0</v>
      </c>
      <c r="AK60" s="13">
        <v>0</v>
      </c>
      <c r="AL60" s="13">
        <v>1</v>
      </c>
      <c r="AM60" s="13">
        <v>1</v>
      </c>
      <c r="AN60" s="13">
        <v>0</v>
      </c>
      <c r="AO60" s="9" t="s">
        <v>59</v>
      </c>
      <c r="AP60" s="9" t="s">
        <v>59</v>
      </c>
      <c r="AQ60" s="9" t="s">
        <v>59</v>
      </c>
      <c r="AR60" s="13"/>
      <c r="AS60" s="13"/>
      <c r="AT60" s="13"/>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row>
    <row r="61" spans="1:155" s="9" customFormat="1" ht="13.75" customHeight="1">
      <c r="A61" s="28" t="s">
        <v>450</v>
      </c>
      <c r="B61" s="28" t="s">
        <v>451</v>
      </c>
      <c r="C61" s="28" t="s">
        <v>452</v>
      </c>
      <c r="D61" s="28" t="s">
        <v>453</v>
      </c>
      <c r="E61" s="28" t="s">
        <v>454</v>
      </c>
      <c r="F61" s="28">
        <v>2024</v>
      </c>
      <c r="G61" s="77" t="s">
        <v>1109</v>
      </c>
      <c r="H61" s="34" t="s">
        <v>455</v>
      </c>
      <c r="I61" s="34" t="s">
        <v>456</v>
      </c>
      <c r="J61" s="13">
        <v>1</v>
      </c>
      <c r="K61" s="13">
        <v>0</v>
      </c>
      <c r="L61" s="13">
        <v>1</v>
      </c>
      <c r="M61" s="13">
        <v>0</v>
      </c>
      <c r="N61" s="13">
        <v>1</v>
      </c>
      <c r="O61" s="13">
        <v>0</v>
      </c>
      <c r="P61" s="13">
        <v>0</v>
      </c>
      <c r="Q61" s="37" t="s">
        <v>59</v>
      </c>
      <c r="R61" s="13" t="s">
        <v>59</v>
      </c>
      <c r="S61" s="13" t="s">
        <v>59</v>
      </c>
      <c r="T61" s="13">
        <v>0</v>
      </c>
      <c r="U61" s="13">
        <v>0</v>
      </c>
      <c r="V61" s="13">
        <v>0</v>
      </c>
      <c r="W61" s="13">
        <v>0</v>
      </c>
      <c r="X61" s="13">
        <v>0</v>
      </c>
      <c r="Y61" s="13">
        <v>0</v>
      </c>
      <c r="Z61" s="13">
        <v>1</v>
      </c>
      <c r="AA61" s="13">
        <v>0</v>
      </c>
      <c r="AB61" s="13">
        <v>0</v>
      </c>
      <c r="AC61" s="13">
        <v>0</v>
      </c>
      <c r="AD61" s="13">
        <v>0</v>
      </c>
      <c r="AE61" s="13">
        <v>0</v>
      </c>
      <c r="AF61" s="13" t="s">
        <v>59</v>
      </c>
      <c r="AG61" s="13" t="s">
        <v>59</v>
      </c>
      <c r="AH61" s="13" t="s">
        <v>59</v>
      </c>
      <c r="AI61" s="13" t="s">
        <v>59</v>
      </c>
      <c r="AJ61" s="13">
        <v>0</v>
      </c>
      <c r="AK61" s="13">
        <v>0</v>
      </c>
      <c r="AL61" s="13">
        <v>1</v>
      </c>
      <c r="AM61" s="13">
        <v>1</v>
      </c>
      <c r="AN61" s="13">
        <v>0</v>
      </c>
      <c r="AO61" s="9" t="s">
        <v>59</v>
      </c>
      <c r="AP61" s="9" t="s">
        <v>59</v>
      </c>
      <c r="AQ61" s="9" t="s">
        <v>59</v>
      </c>
      <c r="AR61" s="13"/>
      <c r="AS61" s="13"/>
      <c r="AT61" s="13"/>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row>
    <row r="62" spans="1:155" s="9" customFormat="1" ht="13.75" customHeight="1">
      <c r="A62" s="28" t="s">
        <v>457</v>
      </c>
      <c r="B62" s="28" t="s">
        <v>458</v>
      </c>
      <c r="C62" s="28" t="s">
        <v>278</v>
      </c>
      <c r="D62" s="28" t="s">
        <v>459</v>
      </c>
      <c r="E62" s="28" t="s">
        <v>460</v>
      </c>
      <c r="F62" s="28">
        <v>2024</v>
      </c>
      <c r="G62" s="77" t="s">
        <v>1110</v>
      </c>
      <c r="H62" s="34" t="s">
        <v>117</v>
      </c>
      <c r="I62" s="34" t="s">
        <v>461</v>
      </c>
      <c r="J62" s="13">
        <v>1</v>
      </c>
      <c r="K62" s="13">
        <v>0</v>
      </c>
      <c r="L62" s="13">
        <v>0</v>
      </c>
      <c r="M62" s="13">
        <v>1</v>
      </c>
      <c r="N62" s="13">
        <v>1</v>
      </c>
      <c r="O62" s="13">
        <v>0</v>
      </c>
      <c r="P62" s="13">
        <v>0</v>
      </c>
      <c r="Q62" s="37">
        <v>1</v>
      </c>
      <c r="R62" s="13">
        <v>0</v>
      </c>
      <c r="S62" s="13">
        <v>1</v>
      </c>
      <c r="T62" s="13">
        <v>0</v>
      </c>
      <c r="U62" s="13">
        <v>0</v>
      </c>
      <c r="V62" s="13">
        <v>0</v>
      </c>
      <c r="W62" s="13">
        <v>0</v>
      </c>
      <c r="X62" s="13">
        <v>0</v>
      </c>
      <c r="Y62" s="13">
        <v>0</v>
      </c>
      <c r="Z62" s="13">
        <v>0</v>
      </c>
      <c r="AA62" s="13">
        <v>1</v>
      </c>
      <c r="AB62" s="13">
        <v>0</v>
      </c>
      <c r="AC62" s="13">
        <v>0</v>
      </c>
      <c r="AD62" s="13">
        <v>0</v>
      </c>
      <c r="AE62" s="13">
        <v>1</v>
      </c>
      <c r="AF62" s="13">
        <v>1</v>
      </c>
      <c r="AG62" s="13">
        <v>1</v>
      </c>
      <c r="AH62" s="13">
        <v>1</v>
      </c>
      <c r="AI62" s="13">
        <v>0</v>
      </c>
      <c r="AJ62" s="13">
        <v>0</v>
      </c>
      <c r="AK62" s="13">
        <v>1</v>
      </c>
      <c r="AL62" s="13">
        <v>1</v>
      </c>
      <c r="AM62" s="13">
        <v>1</v>
      </c>
      <c r="AN62" s="13">
        <v>0</v>
      </c>
      <c r="AO62" s="9" t="s">
        <v>59</v>
      </c>
      <c r="AP62" s="9" t="s">
        <v>59</v>
      </c>
      <c r="AQ62" s="9" t="s">
        <v>59</v>
      </c>
      <c r="AR62" s="13"/>
      <c r="AS62" s="13"/>
      <c r="AT62" s="13"/>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row>
    <row r="63" spans="1:155" s="9" customFormat="1" ht="13.75" customHeight="1">
      <c r="A63" s="28" t="s">
        <v>462</v>
      </c>
      <c r="B63" s="28" t="s">
        <v>463</v>
      </c>
      <c r="C63" s="28" t="s">
        <v>464</v>
      </c>
      <c r="D63" s="28" t="s">
        <v>465</v>
      </c>
      <c r="E63" s="28" t="s">
        <v>466</v>
      </c>
      <c r="F63" s="28">
        <v>2024</v>
      </c>
      <c r="G63" s="77" t="s">
        <v>1111</v>
      </c>
      <c r="H63" s="34" t="s">
        <v>105</v>
      </c>
      <c r="I63" s="34" t="s">
        <v>467</v>
      </c>
      <c r="J63" s="13">
        <v>1</v>
      </c>
      <c r="K63" s="13">
        <v>0</v>
      </c>
      <c r="L63" s="13">
        <v>0</v>
      </c>
      <c r="M63" s="13">
        <v>1</v>
      </c>
      <c r="N63" s="13">
        <v>1</v>
      </c>
      <c r="O63" s="13">
        <v>0</v>
      </c>
      <c r="P63" s="13">
        <v>0</v>
      </c>
      <c r="Q63" s="37" t="s">
        <v>59</v>
      </c>
      <c r="R63" s="13" t="s">
        <v>59</v>
      </c>
      <c r="S63" s="13" t="s">
        <v>59</v>
      </c>
      <c r="T63" s="13">
        <v>0</v>
      </c>
      <c r="U63" s="13">
        <v>0</v>
      </c>
      <c r="V63" s="13">
        <v>0</v>
      </c>
      <c r="W63" s="13">
        <v>0</v>
      </c>
      <c r="X63" s="13">
        <v>0</v>
      </c>
      <c r="Y63" s="13">
        <v>0</v>
      </c>
      <c r="Z63" s="13">
        <v>0</v>
      </c>
      <c r="AA63" s="13">
        <v>1</v>
      </c>
      <c r="AB63" s="13">
        <v>0</v>
      </c>
      <c r="AC63" s="13">
        <v>0</v>
      </c>
      <c r="AD63" s="13">
        <v>0</v>
      </c>
      <c r="AE63" s="13">
        <v>0</v>
      </c>
      <c r="AF63" s="13">
        <v>1</v>
      </c>
      <c r="AG63" s="13">
        <v>1</v>
      </c>
      <c r="AH63" s="13">
        <v>1</v>
      </c>
      <c r="AI63" s="13">
        <v>0</v>
      </c>
      <c r="AJ63" s="13">
        <v>0</v>
      </c>
      <c r="AK63" s="13">
        <v>0</v>
      </c>
      <c r="AL63" s="13">
        <v>1</v>
      </c>
      <c r="AM63" s="13">
        <v>1</v>
      </c>
      <c r="AN63" s="13">
        <v>0</v>
      </c>
      <c r="AO63" s="9" t="s">
        <v>59</v>
      </c>
      <c r="AP63" s="9" t="s">
        <v>59</v>
      </c>
      <c r="AQ63" s="9" t="s">
        <v>59</v>
      </c>
      <c r="AR63" s="13"/>
      <c r="AS63" s="13"/>
      <c r="AT63" s="13"/>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row>
    <row r="64" spans="1:155" s="9" customFormat="1" ht="13.75" customHeight="1">
      <c r="A64" s="28" t="s">
        <v>468</v>
      </c>
      <c r="B64" s="28" t="s">
        <v>469</v>
      </c>
      <c r="C64" s="28" t="s">
        <v>470</v>
      </c>
      <c r="D64" s="28" t="s">
        <v>471</v>
      </c>
      <c r="E64" s="28" t="s">
        <v>472</v>
      </c>
      <c r="F64" s="28">
        <v>2024</v>
      </c>
      <c r="G64" s="77" t="s">
        <v>1112</v>
      </c>
      <c r="H64" s="34" t="s">
        <v>75</v>
      </c>
      <c r="I64" s="34" t="s">
        <v>473</v>
      </c>
      <c r="J64" s="13">
        <v>1</v>
      </c>
      <c r="K64" s="13">
        <v>0</v>
      </c>
      <c r="L64" s="13">
        <v>0</v>
      </c>
      <c r="M64" s="13">
        <v>1</v>
      </c>
      <c r="N64" s="13">
        <v>1</v>
      </c>
      <c r="O64" s="13">
        <v>0</v>
      </c>
      <c r="P64" s="13">
        <v>0</v>
      </c>
      <c r="Q64" s="37" t="s">
        <v>59</v>
      </c>
      <c r="R64" s="13" t="s">
        <v>59</v>
      </c>
      <c r="S64" s="13" t="s">
        <v>59</v>
      </c>
      <c r="T64" s="13">
        <v>1</v>
      </c>
      <c r="U64" s="13">
        <v>0</v>
      </c>
      <c r="V64" s="13">
        <v>1</v>
      </c>
      <c r="W64" s="13">
        <v>0</v>
      </c>
      <c r="X64" s="13">
        <v>0</v>
      </c>
      <c r="Y64" s="13">
        <v>0</v>
      </c>
      <c r="Z64" s="13">
        <v>1</v>
      </c>
      <c r="AA64" s="13">
        <v>0</v>
      </c>
      <c r="AB64" s="13">
        <v>0</v>
      </c>
      <c r="AC64" s="13">
        <v>0</v>
      </c>
      <c r="AD64" s="13">
        <v>0</v>
      </c>
      <c r="AE64" s="13">
        <v>1</v>
      </c>
      <c r="AF64" s="13">
        <v>0</v>
      </c>
      <c r="AG64" s="13">
        <v>1</v>
      </c>
      <c r="AH64" s="13">
        <v>1</v>
      </c>
      <c r="AI64" s="13">
        <v>0</v>
      </c>
      <c r="AJ64" s="13">
        <v>0</v>
      </c>
      <c r="AK64" s="13">
        <v>0</v>
      </c>
      <c r="AL64" s="13">
        <v>1</v>
      </c>
      <c r="AM64" s="13">
        <v>1</v>
      </c>
      <c r="AN64" s="13">
        <v>0</v>
      </c>
      <c r="AO64" s="9" t="s">
        <v>59</v>
      </c>
      <c r="AP64" s="9" t="s">
        <v>59</v>
      </c>
      <c r="AQ64" s="9" t="s">
        <v>59</v>
      </c>
      <c r="AR64" s="13"/>
      <c r="AS64" s="13"/>
      <c r="AT64" s="13"/>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row>
    <row r="65" spans="1:155" s="9" customFormat="1" ht="13.75" customHeight="1">
      <c r="A65" s="28" t="s">
        <v>474</v>
      </c>
      <c r="B65" s="28" t="s">
        <v>475</v>
      </c>
      <c r="C65" s="28" t="s">
        <v>147</v>
      </c>
      <c r="D65" s="28"/>
      <c r="E65" s="28" t="s">
        <v>476</v>
      </c>
      <c r="F65" s="28">
        <v>2024</v>
      </c>
      <c r="G65" s="77" t="s">
        <v>1113</v>
      </c>
      <c r="H65" s="34" t="s">
        <v>150</v>
      </c>
      <c r="I65" s="34" t="s">
        <v>477</v>
      </c>
      <c r="J65" s="13">
        <v>1</v>
      </c>
      <c r="K65" s="13">
        <v>0</v>
      </c>
      <c r="L65" s="13">
        <v>1</v>
      </c>
      <c r="M65" s="13">
        <v>0</v>
      </c>
      <c r="N65" s="13">
        <v>1</v>
      </c>
      <c r="O65" s="13">
        <v>0</v>
      </c>
      <c r="P65" s="13">
        <v>0</v>
      </c>
      <c r="Q65" s="37">
        <v>1</v>
      </c>
      <c r="R65" s="13">
        <v>0</v>
      </c>
      <c r="S65" s="13">
        <v>1</v>
      </c>
      <c r="T65" s="13">
        <v>0</v>
      </c>
      <c r="U65" s="13">
        <v>0</v>
      </c>
      <c r="V65" s="13">
        <v>0</v>
      </c>
      <c r="W65" s="13">
        <v>0</v>
      </c>
      <c r="X65" s="13">
        <v>0</v>
      </c>
      <c r="Y65" s="13">
        <v>0</v>
      </c>
      <c r="Z65" s="13">
        <v>0</v>
      </c>
      <c r="AA65" s="13">
        <v>0</v>
      </c>
      <c r="AB65" s="13">
        <v>0</v>
      </c>
      <c r="AC65" s="13">
        <v>0</v>
      </c>
      <c r="AD65" s="13">
        <v>0</v>
      </c>
      <c r="AE65" s="13">
        <v>1</v>
      </c>
      <c r="AF65" s="13">
        <v>1</v>
      </c>
      <c r="AG65" s="13">
        <v>1</v>
      </c>
      <c r="AH65" s="13">
        <v>1</v>
      </c>
      <c r="AI65" s="13">
        <v>0</v>
      </c>
      <c r="AJ65" s="13">
        <v>0</v>
      </c>
      <c r="AK65" s="13">
        <v>0</v>
      </c>
      <c r="AL65" s="13">
        <v>1</v>
      </c>
      <c r="AM65" s="13">
        <v>1</v>
      </c>
      <c r="AN65" s="13">
        <v>0</v>
      </c>
      <c r="AO65" s="9" t="s">
        <v>59</v>
      </c>
      <c r="AP65" s="9" t="s">
        <v>59</v>
      </c>
      <c r="AQ65" s="9" t="s">
        <v>59</v>
      </c>
      <c r="AR65" s="13"/>
      <c r="AS65" s="13"/>
      <c r="AT65" s="13"/>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row>
    <row r="66" spans="1:155" s="9" customFormat="1" ht="13.75" customHeight="1">
      <c r="A66" s="28" t="s">
        <v>478</v>
      </c>
      <c r="B66" s="28" t="s">
        <v>479</v>
      </c>
      <c r="C66" s="28" t="s">
        <v>400</v>
      </c>
      <c r="D66" s="28"/>
      <c r="E66" s="28" t="s">
        <v>480</v>
      </c>
      <c r="F66" s="28">
        <v>2024</v>
      </c>
      <c r="G66" s="77" t="s">
        <v>1114</v>
      </c>
      <c r="H66" s="34" t="s">
        <v>402</v>
      </c>
      <c r="I66" s="34" t="s">
        <v>481</v>
      </c>
      <c r="J66" s="13">
        <v>1</v>
      </c>
      <c r="K66" s="13">
        <v>0</v>
      </c>
      <c r="L66" s="13">
        <v>0</v>
      </c>
      <c r="M66" s="13">
        <v>1</v>
      </c>
      <c r="N66" s="13">
        <v>1</v>
      </c>
      <c r="O66" s="13">
        <v>0</v>
      </c>
      <c r="P66" s="13">
        <v>0</v>
      </c>
      <c r="Q66" s="37">
        <v>1</v>
      </c>
      <c r="R66" s="13">
        <v>0</v>
      </c>
      <c r="S66" s="13">
        <v>1</v>
      </c>
      <c r="T66" s="13">
        <v>0</v>
      </c>
      <c r="U66" s="13">
        <v>0</v>
      </c>
      <c r="V66" s="13">
        <v>0</v>
      </c>
      <c r="W66" s="13">
        <v>0</v>
      </c>
      <c r="X66" s="13">
        <v>0</v>
      </c>
      <c r="Y66" s="13">
        <v>0</v>
      </c>
      <c r="Z66" s="13">
        <v>0</v>
      </c>
      <c r="AA66" s="13">
        <v>1</v>
      </c>
      <c r="AB66" s="13">
        <v>0</v>
      </c>
      <c r="AC66" s="13">
        <v>0</v>
      </c>
      <c r="AD66" s="13">
        <v>0</v>
      </c>
      <c r="AE66" s="13">
        <v>0</v>
      </c>
      <c r="AF66" s="13">
        <v>0</v>
      </c>
      <c r="AG66" s="13">
        <v>1</v>
      </c>
      <c r="AH66" s="13">
        <v>1</v>
      </c>
      <c r="AI66" s="13">
        <v>0</v>
      </c>
      <c r="AJ66" s="13">
        <v>0</v>
      </c>
      <c r="AK66" s="13">
        <v>0</v>
      </c>
      <c r="AL66" s="13">
        <v>1</v>
      </c>
      <c r="AM66" s="13">
        <v>1</v>
      </c>
      <c r="AN66" s="13">
        <v>0</v>
      </c>
      <c r="AO66" s="9" t="s">
        <v>59</v>
      </c>
      <c r="AP66" s="9" t="s">
        <v>59</v>
      </c>
      <c r="AQ66" s="9" t="s">
        <v>59</v>
      </c>
      <c r="AR66" s="13"/>
      <c r="AS66" s="13"/>
      <c r="AT66" s="13"/>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row>
    <row r="67" spans="1:155" s="9" customFormat="1" ht="13.75" customHeight="1">
      <c r="A67" s="28" t="s">
        <v>482</v>
      </c>
      <c r="B67" s="28" t="s">
        <v>483</v>
      </c>
      <c r="C67" s="28" t="s">
        <v>228</v>
      </c>
      <c r="D67" s="28" t="s">
        <v>484</v>
      </c>
      <c r="E67" s="28" t="s">
        <v>485</v>
      </c>
      <c r="F67" s="28">
        <v>2024</v>
      </c>
      <c r="G67" s="77" t="s">
        <v>1115</v>
      </c>
      <c r="H67" s="34" t="s">
        <v>105</v>
      </c>
      <c r="I67" s="34" t="s">
        <v>486</v>
      </c>
      <c r="J67" s="13">
        <v>1</v>
      </c>
      <c r="K67" s="13">
        <v>0</v>
      </c>
      <c r="L67" s="13">
        <v>0</v>
      </c>
      <c r="M67" s="13">
        <v>1</v>
      </c>
      <c r="N67" s="13">
        <v>1</v>
      </c>
      <c r="O67" s="13">
        <v>0</v>
      </c>
      <c r="P67" s="13">
        <v>0</v>
      </c>
      <c r="Q67" s="37">
        <v>1</v>
      </c>
      <c r="R67" s="13">
        <v>0</v>
      </c>
      <c r="S67" s="13">
        <v>1</v>
      </c>
      <c r="T67" s="13">
        <v>0</v>
      </c>
      <c r="U67" s="13">
        <v>0</v>
      </c>
      <c r="V67" s="13">
        <v>0</v>
      </c>
      <c r="W67" s="13">
        <v>0</v>
      </c>
      <c r="X67" s="13">
        <v>0</v>
      </c>
      <c r="Y67" s="13">
        <v>0</v>
      </c>
      <c r="Z67" s="13">
        <v>0</v>
      </c>
      <c r="AA67" s="13">
        <v>0</v>
      </c>
      <c r="AB67" s="13">
        <v>1</v>
      </c>
      <c r="AC67" s="13">
        <v>0</v>
      </c>
      <c r="AD67" s="13">
        <v>0</v>
      </c>
      <c r="AE67" s="13">
        <v>0</v>
      </c>
      <c r="AF67" s="13">
        <v>0</v>
      </c>
      <c r="AG67" s="13">
        <v>1</v>
      </c>
      <c r="AH67" s="13">
        <v>0</v>
      </c>
      <c r="AI67" s="13">
        <v>1</v>
      </c>
      <c r="AJ67" s="13">
        <v>0</v>
      </c>
      <c r="AK67" s="13">
        <v>0</v>
      </c>
      <c r="AL67" s="13">
        <v>1</v>
      </c>
      <c r="AM67" s="13">
        <v>1</v>
      </c>
      <c r="AN67" s="13">
        <v>0</v>
      </c>
      <c r="AO67" s="9" t="s">
        <v>59</v>
      </c>
      <c r="AP67" s="9" t="s">
        <v>59</v>
      </c>
      <c r="AQ67" s="9" t="s">
        <v>59</v>
      </c>
      <c r="AR67" s="13"/>
      <c r="AS67" s="13"/>
      <c r="AT67" s="13"/>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row>
    <row r="68" spans="1:155" s="9" customFormat="1" ht="13.75" customHeight="1">
      <c r="A68" s="28" t="s">
        <v>487</v>
      </c>
      <c r="B68" s="28" t="s">
        <v>488</v>
      </c>
      <c r="C68" s="28" t="s">
        <v>182</v>
      </c>
      <c r="D68" s="28" t="s">
        <v>489</v>
      </c>
      <c r="E68" s="28" t="s">
        <v>490</v>
      </c>
      <c r="F68" s="28">
        <v>2024</v>
      </c>
      <c r="G68" s="77" t="s">
        <v>1116</v>
      </c>
      <c r="H68" s="34" t="s">
        <v>183</v>
      </c>
      <c r="I68" s="34" t="s">
        <v>491</v>
      </c>
      <c r="J68" s="13">
        <v>1</v>
      </c>
      <c r="K68" s="13">
        <v>0</v>
      </c>
      <c r="L68" s="13">
        <v>0</v>
      </c>
      <c r="M68" s="13">
        <v>1</v>
      </c>
      <c r="N68" s="13">
        <v>1</v>
      </c>
      <c r="O68" s="13">
        <v>0</v>
      </c>
      <c r="P68" s="13">
        <v>0</v>
      </c>
      <c r="Q68" s="37">
        <v>1</v>
      </c>
      <c r="R68" s="13">
        <v>1</v>
      </c>
      <c r="S68" s="13">
        <v>1</v>
      </c>
      <c r="T68" s="13">
        <v>0</v>
      </c>
      <c r="U68" s="13">
        <v>0</v>
      </c>
      <c r="V68" s="13">
        <v>0</v>
      </c>
      <c r="W68" s="13">
        <v>0</v>
      </c>
      <c r="X68" s="13">
        <v>0</v>
      </c>
      <c r="Y68" s="13">
        <v>0</v>
      </c>
      <c r="Z68" s="13">
        <v>0</v>
      </c>
      <c r="AA68" s="13">
        <v>0</v>
      </c>
      <c r="AB68" s="13">
        <v>1</v>
      </c>
      <c r="AC68" s="13">
        <v>0</v>
      </c>
      <c r="AD68" s="13">
        <v>0</v>
      </c>
      <c r="AE68" s="13">
        <v>0</v>
      </c>
      <c r="AF68" s="13">
        <v>0</v>
      </c>
      <c r="AG68" s="13">
        <v>1</v>
      </c>
      <c r="AH68" s="13">
        <v>0</v>
      </c>
      <c r="AI68" s="13">
        <v>1</v>
      </c>
      <c r="AJ68" s="13">
        <v>0</v>
      </c>
      <c r="AK68" s="13">
        <v>0</v>
      </c>
      <c r="AL68" s="13">
        <v>1</v>
      </c>
      <c r="AM68" s="13">
        <v>1</v>
      </c>
      <c r="AN68" s="13">
        <v>0</v>
      </c>
      <c r="AO68" s="9" t="s">
        <v>59</v>
      </c>
      <c r="AP68" s="9" t="s">
        <v>59</v>
      </c>
      <c r="AQ68" s="9" t="s">
        <v>59</v>
      </c>
      <c r="AR68" s="13"/>
      <c r="AS68" s="13"/>
      <c r="AT68" s="13"/>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row>
    <row r="69" spans="1:155" s="9" customFormat="1" ht="13.75" customHeight="1">
      <c r="A69" s="28" t="s">
        <v>492</v>
      </c>
      <c r="B69" s="28" t="s">
        <v>493</v>
      </c>
      <c r="C69" s="28" t="s">
        <v>419</v>
      </c>
      <c r="D69" s="28" t="s">
        <v>494</v>
      </c>
      <c r="E69" s="28" t="s">
        <v>495</v>
      </c>
      <c r="F69" s="28">
        <v>2024</v>
      </c>
      <c r="G69" s="77" t="s">
        <v>1117</v>
      </c>
      <c r="H69" s="34" t="s">
        <v>159</v>
      </c>
      <c r="I69" s="34" t="s">
        <v>496</v>
      </c>
      <c r="J69" s="13">
        <v>1</v>
      </c>
      <c r="K69" s="13">
        <v>0</v>
      </c>
      <c r="L69" s="13">
        <v>0</v>
      </c>
      <c r="M69" s="13">
        <v>1</v>
      </c>
      <c r="N69" s="13">
        <v>1</v>
      </c>
      <c r="O69" s="13">
        <v>1</v>
      </c>
      <c r="P69" s="13">
        <v>0</v>
      </c>
      <c r="Q69" s="37">
        <v>1</v>
      </c>
      <c r="R69" s="13">
        <v>1</v>
      </c>
      <c r="S69" s="13">
        <v>1</v>
      </c>
      <c r="T69" s="13">
        <v>0</v>
      </c>
      <c r="U69" s="13">
        <v>0</v>
      </c>
      <c r="V69" s="13">
        <v>0</v>
      </c>
      <c r="W69" s="13">
        <v>0</v>
      </c>
      <c r="X69" s="13">
        <v>0</v>
      </c>
      <c r="Y69" s="13">
        <v>0</v>
      </c>
      <c r="Z69" s="13">
        <v>0</v>
      </c>
      <c r="AA69" s="13">
        <v>0</v>
      </c>
      <c r="AB69" s="13">
        <v>0</v>
      </c>
      <c r="AC69" s="13">
        <v>0</v>
      </c>
      <c r="AD69" s="13">
        <v>0</v>
      </c>
      <c r="AE69" s="13">
        <v>1</v>
      </c>
      <c r="AF69" s="13">
        <v>0</v>
      </c>
      <c r="AG69" s="13">
        <v>1</v>
      </c>
      <c r="AH69" s="13">
        <v>0</v>
      </c>
      <c r="AI69" s="13">
        <v>1</v>
      </c>
      <c r="AJ69" s="13">
        <v>0</v>
      </c>
      <c r="AK69" s="13">
        <v>0</v>
      </c>
      <c r="AL69" s="13">
        <v>1</v>
      </c>
      <c r="AM69" s="13">
        <v>1</v>
      </c>
      <c r="AN69" s="13">
        <v>0</v>
      </c>
      <c r="AO69" s="9" t="s">
        <v>59</v>
      </c>
      <c r="AP69" s="9" t="s">
        <v>59</v>
      </c>
      <c r="AQ69" s="9" t="s">
        <v>59</v>
      </c>
      <c r="AR69" s="13"/>
      <c r="AS69" s="13"/>
      <c r="AT69" s="13"/>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row>
    <row r="70" spans="1:155" s="9" customFormat="1" ht="13.75" customHeight="1">
      <c r="A70" s="28" t="s">
        <v>497</v>
      </c>
      <c r="B70" s="28" t="s">
        <v>498</v>
      </c>
      <c r="C70" s="28" t="s">
        <v>499</v>
      </c>
      <c r="D70" s="28" t="s">
        <v>500</v>
      </c>
      <c r="E70" s="28" t="s">
        <v>501</v>
      </c>
      <c r="F70" s="28">
        <v>2024</v>
      </c>
      <c r="G70" s="77" t="s">
        <v>1118</v>
      </c>
      <c r="H70" s="34" t="s">
        <v>502</v>
      </c>
      <c r="I70" s="34" t="s">
        <v>503</v>
      </c>
      <c r="J70" s="13">
        <v>1</v>
      </c>
      <c r="K70" s="13">
        <v>0</v>
      </c>
      <c r="L70" s="13">
        <v>0</v>
      </c>
      <c r="M70" s="13">
        <v>1</v>
      </c>
      <c r="N70" s="13">
        <v>1</v>
      </c>
      <c r="O70" s="13">
        <v>0</v>
      </c>
      <c r="P70" s="13">
        <v>0</v>
      </c>
      <c r="Q70" s="37">
        <v>1</v>
      </c>
      <c r="R70" s="13">
        <v>0</v>
      </c>
      <c r="S70" s="13">
        <v>1</v>
      </c>
      <c r="T70" s="13">
        <v>0</v>
      </c>
      <c r="U70" s="13">
        <v>0</v>
      </c>
      <c r="V70" s="13">
        <v>0</v>
      </c>
      <c r="W70" s="13">
        <v>0</v>
      </c>
      <c r="X70" s="13">
        <v>0</v>
      </c>
      <c r="Y70" s="13">
        <v>0</v>
      </c>
      <c r="Z70" s="13">
        <v>0</v>
      </c>
      <c r="AA70" s="13">
        <v>0</v>
      </c>
      <c r="AB70" s="13">
        <v>1</v>
      </c>
      <c r="AC70" s="13">
        <v>0</v>
      </c>
      <c r="AD70" s="13">
        <v>0</v>
      </c>
      <c r="AE70" s="13">
        <v>0</v>
      </c>
      <c r="AF70" s="13" t="s">
        <v>59</v>
      </c>
      <c r="AG70" s="13" t="s">
        <v>59</v>
      </c>
      <c r="AH70" s="13" t="s">
        <v>59</v>
      </c>
      <c r="AI70" s="13" t="s">
        <v>59</v>
      </c>
      <c r="AJ70" s="13">
        <v>0</v>
      </c>
      <c r="AK70" s="13">
        <v>1</v>
      </c>
      <c r="AL70" s="13">
        <v>1</v>
      </c>
      <c r="AM70" s="13">
        <v>1</v>
      </c>
      <c r="AN70" s="13">
        <v>0</v>
      </c>
      <c r="AO70" s="9" t="s">
        <v>59</v>
      </c>
      <c r="AP70" s="9" t="s">
        <v>59</v>
      </c>
      <c r="AQ70" s="9" t="s">
        <v>59</v>
      </c>
      <c r="AR70" s="13"/>
      <c r="AS70" s="13"/>
      <c r="AT70" s="13"/>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row>
    <row r="71" spans="1:155" s="9" customFormat="1" ht="13.75" customHeight="1">
      <c r="A71" s="28" t="s">
        <v>504</v>
      </c>
      <c r="B71" s="29" t="s">
        <v>505</v>
      </c>
      <c r="C71" s="29" t="s">
        <v>307</v>
      </c>
      <c r="D71" s="29" t="s">
        <v>506</v>
      </c>
      <c r="E71" s="29" t="s">
        <v>507</v>
      </c>
      <c r="F71" s="28">
        <v>2024</v>
      </c>
      <c r="G71" s="81" t="s">
        <v>1119</v>
      </c>
      <c r="H71" s="30" t="s">
        <v>183</v>
      </c>
      <c r="I71" s="30" t="s">
        <v>508</v>
      </c>
      <c r="J71" s="25">
        <v>1</v>
      </c>
      <c r="K71" s="25">
        <v>0</v>
      </c>
      <c r="L71" s="25">
        <v>0</v>
      </c>
      <c r="M71" s="25">
        <v>1</v>
      </c>
      <c r="N71" s="25">
        <v>1</v>
      </c>
      <c r="O71" s="25">
        <v>0</v>
      </c>
      <c r="P71" s="25">
        <v>0</v>
      </c>
      <c r="Q71" s="82" t="s">
        <v>59</v>
      </c>
      <c r="R71" s="25" t="s">
        <v>59</v>
      </c>
      <c r="S71" s="25" t="s">
        <v>59</v>
      </c>
      <c r="T71" s="25">
        <v>1</v>
      </c>
      <c r="U71" s="25">
        <v>1</v>
      </c>
      <c r="V71" s="25">
        <v>1</v>
      </c>
      <c r="W71" s="25">
        <v>0</v>
      </c>
      <c r="X71" s="25">
        <v>0</v>
      </c>
      <c r="Y71" s="25">
        <v>0</v>
      </c>
      <c r="Z71" s="25">
        <v>0</v>
      </c>
      <c r="AA71" s="25">
        <v>0</v>
      </c>
      <c r="AB71" s="25">
        <v>0</v>
      </c>
      <c r="AC71" s="25">
        <v>0</v>
      </c>
      <c r="AD71" s="25">
        <v>1</v>
      </c>
      <c r="AE71" s="25">
        <v>1</v>
      </c>
      <c r="AF71" s="25">
        <v>1</v>
      </c>
      <c r="AG71" s="25">
        <v>1</v>
      </c>
      <c r="AH71" s="25">
        <v>1</v>
      </c>
      <c r="AI71" s="25">
        <v>0</v>
      </c>
      <c r="AJ71" s="25">
        <v>0</v>
      </c>
      <c r="AK71" s="9">
        <v>1</v>
      </c>
      <c r="AL71" s="25">
        <v>0</v>
      </c>
      <c r="AM71" s="25">
        <v>1</v>
      </c>
      <c r="AN71" s="25">
        <v>0</v>
      </c>
      <c r="AO71" s="9" t="s">
        <v>59</v>
      </c>
      <c r="AP71" s="9" t="s">
        <v>59</v>
      </c>
      <c r="AQ71" s="9" t="s">
        <v>59</v>
      </c>
      <c r="AR71" s="25"/>
      <c r="AS71" s="25"/>
      <c r="AT71" s="25"/>
    </row>
    <row r="72" spans="1:155" s="9" customFormat="1" ht="13.75" customHeight="1">
      <c r="A72" s="28" t="s">
        <v>509</v>
      </c>
      <c r="B72" s="29" t="s">
        <v>510</v>
      </c>
      <c r="C72" s="29" t="s">
        <v>423</v>
      </c>
      <c r="D72" s="29" t="s">
        <v>279</v>
      </c>
      <c r="E72" s="29" t="s">
        <v>511</v>
      </c>
      <c r="F72" s="28">
        <v>2024</v>
      </c>
      <c r="G72" s="81" t="s">
        <v>1120</v>
      </c>
      <c r="H72" s="30" t="s">
        <v>183</v>
      </c>
      <c r="I72" s="30" t="s">
        <v>512</v>
      </c>
      <c r="J72" s="25">
        <v>1</v>
      </c>
      <c r="K72" s="25">
        <v>0</v>
      </c>
      <c r="L72" s="25">
        <v>0</v>
      </c>
      <c r="M72" s="25">
        <v>1</v>
      </c>
      <c r="N72" s="25">
        <v>1</v>
      </c>
      <c r="O72" s="25">
        <v>0</v>
      </c>
      <c r="P72" s="25">
        <v>0</v>
      </c>
      <c r="Q72" s="82" t="s">
        <v>59</v>
      </c>
      <c r="R72" s="25" t="s">
        <v>59</v>
      </c>
      <c r="S72" s="25" t="s">
        <v>59</v>
      </c>
      <c r="T72" s="25">
        <v>1</v>
      </c>
      <c r="U72" s="25">
        <v>0</v>
      </c>
      <c r="V72" s="25">
        <v>0</v>
      </c>
      <c r="W72" s="25">
        <v>0</v>
      </c>
      <c r="X72" s="25">
        <v>0</v>
      </c>
      <c r="Y72" s="25">
        <v>0</v>
      </c>
      <c r="Z72" s="25">
        <v>0</v>
      </c>
      <c r="AA72" s="25">
        <v>0</v>
      </c>
      <c r="AB72" s="25">
        <v>0</v>
      </c>
      <c r="AC72" s="25">
        <v>0</v>
      </c>
      <c r="AD72" s="25">
        <v>0</v>
      </c>
      <c r="AE72" s="25">
        <v>0</v>
      </c>
      <c r="AF72" s="25">
        <v>0</v>
      </c>
      <c r="AG72" s="25">
        <v>1</v>
      </c>
      <c r="AH72" s="25">
        <v>1</v>
      </c>
      <c r="AI72" s="25">
        <v>0</v>
      </c>
      <c r="AJ72" s="25">
        <v>0</v>
      </c>
      <c r="AK72" s="9">
        <v>1</v>
      </c>
      <c r="AL72" s="25">
        <v>0</v>
      </c>
      <c r="AM72" s="25">
        <v>1</v>
      </c>
      <c r="AN72" s="25">
        <v>0</v>
      </c>
      <c r="AO72" s="9" t="s">
        <v>59</v>
      </c>
      <c r="AP72" s="9" t="s">
        <v>59</v>
      </c>
      <c r="AQ72" s="9" t="s">
        <v>59</v>
      </c>
      <c r="AR72" s="25"/>
      <c r="AS72" s="25"/>
      <c r="AT72" s="25"/>
    </row>
    <row r="73" spans="1:155" s="9" customFormat="1" ht="13.75" customHeight="1">
      <c r="A73" s="28" t="s">
        <v>514</v>
      </c>
      <c r="B73" s="29" t="s">
        <v>515</v>
      </c>
      <c r="C73" s="29" t="s">
        <v>101</v>
      </c>
      <c r="D73" s="29" t="s">
        <v>516</v>
      </c>
      <c r="E73" s="29" t="s">
        <v>517</v>
      </c>
      <c r="F73" s="28">
        <v>2024</v>
      </c>
      <c r="G73" s="81" t="s">
        <v>1121</v>
      </c>
      <c r="H73" s="30" t="s">
        <v>105</v>
      </c>
      <c r="I73" s="30" t="s">
        <v>518</v>
      </c>
      <c r="J73" s="25">
        <v>1</v>
      </c>
      <c r="K73" s="25">
        <v>0</v>
      </c>
      <c r="L73" s="25">
        <v>1</v>
      </c>
      <c r="M73" s="25">
        <v>0</v>
      </c>
      <c r="N73" s="25">
        <v>1</v>
      </c>
      <c r="O73" s="25">
        <v>0</v>
      </c>
      <c r="P73" s="25">
        <v>0</v>
      </c>
      <c r="Q73" s="82">
        <v>1</v>
      </c>
      <c r="R73" s="25">
        <v>0</v>
      </c>
      <c r="S73" s="25">
        <v>1</v>
      </c>
      <c r="T73" s="25">
        <v>0</v>
      </c>
      <c r="U73" s="25">
        <v>0</v>
      </c>
      <c r="V73" s="25">
        <v>0</v>
      </c>
      <c r="W73" s="25">
        <v>0</v>
      </c>
      <c r="X73" s="25">
        <v>0</v>
      </c>
      <c r="Y73" s="25">
        <v>0</v>
      </c>
      <c r="Z73" s="25">
        <v>0</v>
      </c>
      <c r="AA73" s="25">
        <v>0</v>
      </c>
      <c r="AB73" s="25">
        <v>1</v>
      </c>
      <c r="AC73" s="25">
        <v>0</v>
      </c>
      <c r="AD73" s="25">
        <v>0</v>
      </c>
      <c r="AE73" s="25">
        <v>0</v>
      </c>
      <c r="AF73" s="25" t="s">
        <v>59</v>
      </c>
      <c r="AG73" s="25" t="s">
        <v>59</v>
      </c>
      <c r="AH73" s="25" t="s">
        <v>59</v>
      </c>
      <c r="AI73" s="25" t="s">
        <v>59</v>
      </c>
      <c r="AJ73" s="25">
        <v>0</v>
      </c>
      <c r="AK73" s="9">
        <v>1</v>
      </c>
      <c r="AL73" s="25">
        <v>0</v>
      </c>
      <c r="AM73" s="25">
        <v>1</v>
      </c>
      <c r="AN73" s="25">
        <v>0</v>
      </c>
      <c r="AO73" s="9" t="s">
        <v>59</v>
      </c>
      <c r="AP73" s="9" t="s">
        <v>59</v>
      </c>
      <c r="AQ73" s="9" t="s">
        <v>59</v>
      </c>
      <c r="AR73" s="25"/>
      <c r="AS73" s="25"/>
      <c r="AT73" s="25" t="s">
        <v>279</v>
      </c>
    </row>
    <row r="74" spans="1:155" s="9" customFormat="1" ht="13.75" customHeight="1">
      <c r="A74" s="42" t="s">
        <v>520</v>
      </c>
      <c r="B74" s="42" t="s">
        <v>521</v>
      </c>
      <c r="C74" s="42" t="s">
        <v>307</v>
      </c>
      <c r="D74" s="42" t="s">
        <v>522</v>
      </c>
      <c r="E74" s="42" t="s">
        <v>523</v>
      </c>
      <c r="F74" s="42">
        <v>2023</v>
      </c>
      <c r="G74" s="83" t="s">
        <v>1122</v>
      </c>
      <c r="H74" s="43" t="s">
        <v>183</v>
      </c>
      <c r="I74" s="43" t="s">
        <v>524</v>
      </c>
      <c r="J74" s="44">
        <v>1</v>
      </c>
      <c r="K74" s="44">
        <v>0</v>
      </c>
      <c r="L74" s="44">
        <v>1</v>
      </c>
      <c r="M74" s="44">
        <v>0</v>
      </c>
      <c r="N74" s="44">
        <v>1</v>
      </c>
      <c r="O74" s="44">
        <v>0</v>
      </c>
      <c r="P74" s="44">
        <v>0</v>
      </c>
      <c r="Q74" s="44" t="s">
        <v>59</v>
      </c>
      <c r="R74" s="44" t="s">
        <v>59</v>
      </c>
      <c r="S74" s="44" t="s">
        <v>59</v>
      </c>
      <c r="T74" s="44">
        <v>0</v>
      </c>
      <c r="U74" s="44">
        <v>0</v>
      </c>
      <c r="V74" s="44">
        <v>0</v>
      </c>
      <c r="W74" s="44">
        <v>0</v>
      </c>
      <c r="X74" s="44">
        <v>0</v>
      </c>
      <c r="Y74" s="44">
        <v>0</v>
      </c>
      <c r="Z74" s="44">
        <v>0</v>
      </c>
      <c r="AA74" s="44">
        <v>0</v>
      </c>
      <c r="AB74" s="44">
        <v>1</v>
      </c>
      <c r="AC74" s="44">
        <v>0</v>
      </c>
      <c r="AD74" s="44">
        <v>0</v>
      </c>
      <c r="AE74" s="44">
        <v>0</v>
      </c>
      <c r="AF74" s="44">
        <v>1</v>
      </c>
      <c r="AG74" s="44">
        <v>1</v>
      </c>
      <c r="AH74" s="44">
        <v>1</v>
      </c>
      <c r="AI74" s="44">
        <v>0</v>
      </c>
      <c r="AJ74" s="44">
        <v>0</v>
      </c>
      <c r="AK74" s="44">
        <v>1</v>
      </c>
      <c r="AL74" s="44">
        <v>1</v>
      </c>
      <c r="AM74" s="44">
        <v>1</v>
      </c>
      <c r="AN74" s="44">
        <v>0</v>
      </c>
      <c r="AO74" s="44">
        <v>0</v>
      </c>
      <c r="AP74" s="44">
        <v>0</v>
      </c>
      <c r="AQ74" s="44">
        <v>1</v>
      </c>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row>
    <row r="75" spans="1:155" s="9" customFormat="1" ht="13.75" customHeight="1">
      <c r="A75" s="42" t="s">
        <v>525</v>
      </c>
      <c r="B75" s="42" t="s">
        <v>526</v>
      </c>
      <c r="C75" s="42" t="s">
        <v>527</v>
      </c>
      <c r="D75" s="42" t="s">
        <v>528</v>
      </c>
      <c r="E75" s="42" t="s">
        <v>529</v>
      </c>
      <c r="F75" s="42">
        <v>2023</v>
      </c>
      <c r="G75" s="83" t="s">
        <v>1123</v>
      </c>
      <c r="H75" s="43" t="s">
        <v>380</v>
      </c>
      <c r="I75" s="43" t="s">
        <v>530</v>
      </c>
      <c r="J75" s="44">
        <v>1</v>
      </c>
      <c r="K75" s="44">
        <v>0</v>
      </c>
      <c r="L75" s="44">
        <v>0</v>
      </c>
      <c r="M75" s="44">
        <v>1</v>
      </c>
      <c r="N75" s="44">
        <v>0</v>
      </c>
      <c r="O75" s="44">
        <v>0</v>
      </c>
      <c r="P75" s="44">
        <v>0</v>
      </c>
      <c r="Q75" s="44">
        <v>0</v>
      </c>
      <c r="R75" s="44">
        <v>0</v>
      </c>
      <c r="S75" s="44">
        <v>0</v>
      </c>
      <c r="T75" s="44">
        <v>1</v>
      </c>
      <c r="U75" s="44">
        <v>0</v>
      </c>
      <c r="V75" s="44">
        <v>0</v>
      </c>
      <c r="W75" s="44">
        <v>0</v>
      </c>
      <c r="X75" s="44">
        <v>0</v>
      </c>
      <c r="Y75" s="44">
        <v>0</v>
      </c>
      <c r="Z75" s="44">
        <v>0</v>
      </c>
      <c r="AA75" s="44">
        <v>0</v>
      </c>
      <c r="AB75" s="44">
        <v>0</v>
      </c>
      <c r="AC75" s="44">
        <v>0</v>
      </c>
      <c r="AD75" s="44">
        <v>0</v>
      </c>
      <c r="AE75" s="44">
        <v>0</v>
      </c>
      <c r="AF75" s="44">
        <v>0</v>
      </c>
      <c r="AG75" s="44">
        <v>0</v>
      </c>
      <c r="AH75" s="44">
        <v>1</v>
      </c>
      <c r="AI75" s="44">
        <v>0</v>
      </c>
      <c r="AJ75" s="44">
        <v>0</v>
      </c>
      <c r="AK75" s="44">
        <v>0</v>
      </c>
      <c r="AL75" s="44">
        <v>1</v>
      </c>
      <c r="AM75" s="44">
        <v>1</v>
      </c>
      <c r="AN75" s="44">
        <v>0</v>
      </c>
      <c r="AO75" s="44">
        <v>0</v>
      </c>
      <c r="AP75" s="44">
        <v>0</v>
      </c>
      <c r="AQ75" s="44">
        <v>1</v>
      </c>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row>
    <row r="76" spans="1:155" s="9" customFormat="1" ht="13.75" customHeight="1">
      <c r="A76" s="28" t="s">
        <v>531</v>
      </c>
      <c r="B76" s="29" t="s">
        <v>532</v>
      </c>
      <c r="C76" s="29" t="s">
        <v>436</v>
      </c>
      <c r="D76" s="29" t="s">
        <v>533</v>
      </c>
      <c r="E76" s="29" t="s">
        <v>534</v>
      </c>
      <c r="F76" s="42">
        <v>2023</v>
      </c>
      <c r="G76" s="81" t="s">
        <v>1124</v>
      </c>
      <c r="H76" s="30" t="s">
        <v>124</v>
      </c>
      <c r="I76" s="30" t="s">
        <v>535</v>
      </c>
      <c r="J76" s="25">
        <v>1</v>
      </c>
      <c r="K76" s="25">
        <v>0</v>
      </c>
      <c r="L76" s="25">
        <v>0</v>
      </c>
      <c r="M76" s="25">
        <v>1</v>
      </c>
      <c r="N76" s="25">
        <v>1</v>
      </c>
      <c r="O76" s="25">
        <v>0</v>
      </c>
      <c r="P76" s="25">
        <v>0</v>
      </c>
      <c r="Q76" s="82" t="s">
        <v>59</v>
      </c>
      <c r="R76" s="25" t="s">
        <v>59</v>
      </c>
      <c r="S76" s="25" t="s">
        <v>59</v>
      </c>
      <c r="T76" s="25">
        <v>0</v>
      </c>
      <c r="U76" s="25">
        <v>0</v>
      </c>
      <c r="V76" s="25">
        <v>0</v>
      </c>
      <c r="W76" s="25">
        <v>0</v>
      </c>
      <c r="X76" s="25">
        <v>0</v>
      </c>
      <c r="Y76" s="25">
        <v>0</v>
      </c>
      <c r="Z76" s="25">
        <v>0</v>
      </c>
      <c r="AA76" s="25">
        <v>0</v>
      </c>
      <c r="AB76" s="25">
        <v>1</v>
      </c>
      <c r="AC76" s="25">
        <v>0</v>
      </c>
      <c r="AD76" s="25">
        <v>0</v>
      </c>
      <c r="AE76" s="25">
        <v>0</v>
      </c>
      <c r="AF76" s="25">
        <v>1</v>
      </c>
      <c r="AG76" s="25">
        <v>0</v>
      </c>
      <c r="AH76" s="25">
        <v>0</v>
      </c>
      <c r="AI76" s="25">
        <v>0</v>
      </c>
      <c r="AJ76" s="25">
        <v>0</v>
      </c>
      <c r="AK76" s="9">
        <v>1</v>
      </c>
      <c r="AL76" s="25">
        <v>0</v>
      </c>
      <c r="AM76" s="25">
        <v>1</v>
      </c>
      <c r="AN76" s="25">
        <v>0</v>
      </c>
      <c r="AO76" s="9" t="s">
        <v>59</v>
      </c>
      <c r="AP76" s="9" t="s">
        <v>59</v>
      </c>
      <c r="AQ76" s="9" t="s">
        <v>59</v>
      </c>
      <c r="AR76" s="25"/>
      <c r="AS76" s="25"/>
      <c r="AT76" s="25" t="s">
        <v>279</v>
      </c>
    </row>
    <row r="77" spans="1:155" s="9" customFormat="1" ht="13.75" customHeight="1">
      <c r="A77" s="42" t="s">
        <v>536</v>
      </c>
      <c r="B77" s="42" t="s">
        <v>537</v>
      </c>
      <c r="C77" s="42" t="s">
        <v>133</v>
      </c>
      <c r="D77" s="42" t="s">
        <v>538</v>
      </c>
      <c r="E77" s="42" t="s">
        <v>539</v>
      </c>
      <c r="F77" s="42">
        <v>2023</v>
      </c>
      <c r="G77" s="83" t="s">
        <v>1125</v>
      </c>
      <c r="H77" s="43" t="s">
        <v>117</v>
      </c>
      <c r="I77" s="43" t="s">
        <v>540</v>
      </c>
      <c r="J77" s="44">
        <v>1</v>
      </c>
      <c r="K77" s="44">
        <v>0</v>
      </c>
      <c r="L77" s="44">
        <v>1</v>
      </c>
      <c r="M77" s="44">
        <v>0</v>
      </c>
      <c r="N77" s="44">
        <v>1</v>
      </c>
      <c r="O77" s="44">
        <v>0</v>
      </c>
      <c r="P77" s="44">
        <v>0</v>
      </c>
      <c r="Q77" s="44">
        <v>1</v>
      </c>
      <c r="R77" s="44">
        <v>0</v>
      </c>
      <c r="S77" s="44">
        <v>1</v>
      </c>
      <c r="T77" s="44">
        <v>1</v>
      </c>
      <c r="U77" s="44">
        <v>0</v>
      </c>
      <c r="V77" s="44">
        <v>0</v>
      </c>
      <c r="W77" s="44">
        <v>0</v>
      </c>
      <c r="X77" s="44">
        <v>0</v>
      </c>
      <c r="Y77" s="44">
        <v>0</v>
      </c>
      <c r="Z77" s="44">
        <v>0</v>
      </c>
      <c r="AA77" s="44">
        <v>0</v>
      </c>
      <c r="AB77" s="44">
        <v>1</v>
      </c>
      <c r="AC77" s="44">
        <v>0</v>
      </c>
      <c r="AD77" s="44">
        <v>0</v>
      </c>
      <c r="AE77" s="44">
        <v>0</v>
      </c>
      <c r="AF77" s="44" t="s">
        <v>59</v>
      </c>
      <c r="AG77" s="44" t="s">
        <v>59</v>
      </c>
      <c r="AH77" s="44" t="s">
        <v>59</v>
      </c>
      <c r="AI77" s="44" t="s">
        <v>59</v>
      </c>
      <c r="AJ77" s="44">
        <v>0</v>
      </c>
      <c r="AK77" s="44">
        <v>0</v>
      </c>
      <c r="AL77" s="44">
        <v>1</v>
      </c>
      <c r="AM77" s="44">
        <v>1</v>
      </c>
      <c r="AN77" s="44">
        <v>0</v>
      </c>
      <c r="AO77" s="44">
        <v>0</v>
      </c>
      <c r="AP77" s="44">
        <v>0</v>
      </c>
      <c r="AQ77" s="44">
        <v>1</v>
      </c>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row>
    <row r="78" spans="1:155" s="9" customFormat="1" ht="13.75" customHeight="1">
      <c r="A78" s="28" t="s">
        <v>541</v>
      </c>
      <c r="B78" s="29" t="s">
        <v>542</v>
      </c>
      <c r="C78" s="29" t="s">
        <v>301</v>
      </c>
      <c r="D78" s="29" t="s">
        <v>543</v>
      </c>
      <c r="E78" s="29" t="s">
        <v>544</v>
      </c>
      <c r="F78" s="42">
        <v>2023</v>
      </c>
      <c r="G78" s="81" t="s">
        <v>1126</v>
      </c>
      <c r="H78" s="30" t="s">
        <v>305</v>
      </c>
      <c r="I78" s="30" t="s">
        <v>545</v>
      </c>
      <c r="J78" s="25">
        <v>1</v>
      </c>
      <c r="K78" s="25">
        <v>0</v>
      </c>
      <c r="L78" s="25">
        <v>0</v>
      </c>
      <c r="M78" s="25">
        <v>1</v>
      </c>
      <c r="N78" s="25">
        <v>1</v>
      </c>
      <c r="O78" s="25">
        <v>0</v>
      </c>
      <c r="P78" s="25">
        <v>0</v>
      </c>
      <c r="Q78" s="82" t="s">
        <v>59</v>
      </c>
      <c r="R78" s="25" t="s">
        <v>59</v>
      </c>
      <c r="S78" s="25" t="s">
        <v>59</v>
      </c>
      <c r="T78" s="25">
        <v>1</v>
      </c>
      <c r="U78" s="25">
        <v>0</v>
      </c>
      <c r="V78" s="25">
        <v>0</v>
      </c>
      <c r="W78" s="25">
        <v>0</v>
      </c>
      <c r="X78" s="25">
        <v>0</v>
      </c>
      <c r="Y78" s="25">
        <v>0</v>
      </c>
      <c r="Z78" s="25">
        <v>0</v>
      </c>
      <c r="AA78" s="25">
        <v>0</v>
      </c>
      <c r="AB78" s="25">
        <v>1</v>
      </c>
      <c r="AC78" s="25">
        <v>0</v>
      </c>
      <c r="AD78" s="25">
        <v>0</v>
      </c>
      <c r="AE78" s="25">
        <v>0</v>
      </c>
      <c r="AF78" s="25">
        <v>1</v>
      </c>
      <c r="AG78" s="25">
        <v>1</v>
      </c>
      <c r="AH78" s="25">
        <v>1</v>
      </c>
      <c r="AI78" s="25">
        <v>0</v>
      </c>
      <c r="AJ78" s="25">
        <v>0</v>
      </c>
      <c r="AK78" s="9">
        <v>1</v>
      </c>
      <c r="AL78" s="25">
        <v>0</v>
      </c>
      <c r="AM78" s="25">
        <v>1</v>
      </c>
      <c r="AN78" s="25">
        <v>0</v>
      </c>
      <c r="AO78" s="9" t="s">
        <v>59</v>
      </c>
      <c r="AP78" s="9" t="s">
        <v>59</v>
      </c>
      <c r="AQ78" s="9" t="s">
        <v>59</v>
      </c>
      <c r="AR78" s="25"/>
      <c r="AS78" s="25"/>
      <c r="AT78" s="25" t="s">
        <v>279</v>
      </c>
    </row>
    <row r="79" spans="1:155" s="9" customFormat="1" ht="13.75" customHeight="1">
      <c r="A79" s="31" t="s">
        <v>546</v>
      </c>
      <c r="B79" s="32" t="s">
        <v>547</v>
      </c>
      <c r="C79" s="32" t="s">
        <v>196</v>
      </c>
      <c r="D79" s="32" t="s">
        <v>548</v>
      </c>
      <c r="E79" s="32" t="s">
        <v>549</v>
      </c>
      <c r="F79" s="42">
        <v>2023</v>
      </c>
      <c r="G79" s="84" t="s">
        <v>1127</v>
      </c>
      <c r="H79" s="33" t="s">
        <v>124</v>
      </c>
      <c r="I79" s="33" t="s">
        <v>550</v>
      </c>
      <c r="J79" s="25">
        <v>1</v>
      </c>
      <c r="K79" s="25">
        <v>0</v>
      </c>
      <c r="L79" s="25">
        <v>1</v>
      </c>
      <c r="M79" s="25">
        <v>1</v>
      </c>
      <c r="N79" s="25">
        <v>1</v>
      </c>
      <c r="O79" s="25">
        <v>0</v>
      </c>
      <c r="P79" s="25">
        <v>0</v>
      </c>
      <c r="Q79" s="82" t="s">
        <v>59</v>
      </c>
      <c r="R79" s="25" t="s">
        <v>59</v>
      </c>
      <c r="S79" s="25" t="s">
        <v>59</v>
      </c>
      <c r="T79" s="25">
        <v>1</v>
      </c>
      <c r="U79" s="25">
        <v>0</v>
      </c>
      <c r="V79" s="25">
        <v>0</v>
      </c>
      <c r="W79" s="25">
        <v>0</v>
      </c>
      <c r="X79" s="25">
        <v>0</v>
      </c>
      <c r="Y79" s="25">
        <v>0</v>
      </c>
      <c r="Z79" s="25">
        <v>0</v>
      </c>
      <c r="AA79" s="25">
        <v>0</v>
      </c>
      <c r="AB79" s="25">
        <v>1</v>
      </c>
      <c r="AC79" s="25">
        <v>0</v>
      </c>
      <c r="AD79" s="25">
        <v>0</v>
      </c>
      <c r="AE79" s="25">
        <v>0</v>
      </c>
      <c r="AF79" s="25">
        <v>1</v>
      </c>
      <c r="AG79" s="25">
        <v>1</v>
      </c>
      <c r="AH79" s="25">
        <v>1</v>
      </c>
      <c r="AI79" s="25">
        <v>0</v>
      </c>
      <c r="AJ79" s="25">
        <v>0</v>
      </c>
      <c r="AK79" s="9">
        <v>1</v>
      </c>
      <c r="AL79" s="25">
        <v>0</v>
      </c>
      <c r="AM79" s="25">
        <v>1</v>
      </c>
      <c r="AN79" s="25">
        <v>0</v>
      </c>
      <c r="AO79" s="9" t="s">
        <v>59</v>
      </c>
      <c r="AP79" s="9" t="s">
        <v>59</v>
      </c>
      <c r="AQ79" s="9" t="s">
        <v>59</v>
      </c>
      <c r="AR79" s="25"/>
      <c r="AS79" s="25"/>
      <c r="AT79" s="25" t="s">
        <v>279</v>
      </c>
    </row>
    <row r="80" spans="1:155" s="9" customFormat="1" ht="13.75" customHeight="1">
      <c r="A80" s="31" t="s">
        <v>551</v>
      </c>
      <c r="B80" s="32" t="s">
        <v>552</v>
      </c>
      <c r="C80" s="32" t="s">
        <v>228</v>
      </c>
      <c r="D80" s="32" t="s">
        <v>553</v>
      </c>
      <c r="E80" s="32" t="s">
        <v>554</v>
      </c>
      <c r="F80" s="42">
        <v>2023</v>
      </c>
      <c r="G80" s="84" t="s">
        <v>1128</v>
      </c>
      <c r="H80" s="33" t="s">
        <v>105</v>
      </c>
      <c r="I80" s="33" t="s">
        <v>555</v>
      </c>
      <c r="J80" s="25">
        <v>1</v>
      </c>
      <c r="K80" s="25">
        <v>0</v>
      </c>
      <c r="L80" s="25">
        <v>0</v>
      </c>
      <c r="M80" s="25">
        <v>1</v>
      </c>
      <c r="N80" s="25">
        <v>1</v>
      </c>
      <c r="O80" s="25">
        <v>0</v>
      </c>
      <c r="P80" s="25">
        <v>0</v>
      </c>
      <c r="Q80" s="82">
        <v>1</v>
      </c>
      <c r="R80" s="25">
        <v>0</v>
      </c>
      <c r="S80" s="25">
        <v>1</v>
      </c>
      <c r="T80" s="25">
        <v>0</v>
      </c>
      <c r="U80" s="25">
        <v>0</v>
      </c>
      <c r="V80" s="25">
        <v>0</v>
      </c>
      <c r="W80" s="25">
        <v>0</v>
      </c>
      <c r="X80" s="25">
        <v>0</v>
      </c>
      <c r="Y80" s="25">
        <v>0</v>
      </c>
      <c r="Z80" s="25">
        <v>0</v>
      </c>
      <c r="AA80" s="25">
        <v>0</v>
      </c>
      <c r="AB80" s="25">
        <v>0</v>
      </c>
      <c r="AC80" s="25">
        <v>0</v>
      </c>
      <c r="AD80" s="25">
        <v>0</v>
      </c>
      <c r="AE80" s="25">
        <v>1</v>
      </c>
      <c r="AF80" s="25">
        <v>1</v>
      </c>
      <c r="AG80" s="25">
        <v>1</v>
      </c>
      <c r="AH80" s="25">
        <v>1</v>
      </c>
      <c r="AI80" s="25">
        <v>0</v>
      </c>
      <c r="AJ80" s="25">
        <v>0</v>
      </c>
      <c r="AK80" s="9">
        <v>1</v>
      </c>
      <c r="AL80" s="25">
        <v>0</v>
      </c>
      <c r="AM80" s="25">
        <v>1</v>
      </c>
      <c r="AN80" s="25">
        <v>0</v>
      </c>
      <c r="AO80" s="9" t="s">
        <v>59</v>
      </c>
      <c r="AP80" s="9" t="s">
        <v>59</v>
      </c>
      <c r="AQ80" s="9" t="s">
        <v>59</v>
      </c>
      <c r="AR80" s="25"/>
      <c r="AS80" s="25"/>
      <c r="AT80" s="25" t="s">
        <v>279</v>
      </c>
    </row>
    <row r="81" spans="1:155" s="9" customFormat="1" ht="13.75" customHeight="1">
      <c r="A81" s="31" t="s">
        <v>556</v>
      </c>
      <c r="B81" s="32" t="s">
        <v>557</v>
      </c>
      <c r="C81" s="32" t="s">
        <v>558</v>
      </c>
      <c r="D81" s="32" t="s">
        <v>559</v>
      </c>
      <c r="E81" s="32" t="s">
        <v>560</v>
      </c>
      <c r="F81" s="42">
        <v>2023</v>
      </c>
      <c r="G81" s="84" t="s">
        <v>1129</v>
      </c>
      <c r="H81" s="33" t="s">
        <v>561</v>
      </c>
      <c r="I81" s="33" t="s">
        <v>562</v>
      </c>
      <c r="J81" s="25">
        <v>1</v>
      </c>
      <c r="K81" s="25">
        <v>0</v>
      </c>
      <c r="L81" s="25" t="s">
        <v>59</v>
      </c>
      <c r="M81" s="25" t="s">
        <v>59</v>
      </c>
      <c r="N81" s="25">
        <v>1</v>
      </c>
      <c r="O81" s="25">
        <v>0</v>
      </c>
      <c r="P81" s="25">
        <v>0</v>
      </c>
      <c r="Q81" s="82">
        <v>1</v>
      </c>
      <c r="R81" s="25">
        <v>0</v>
      </c>
      <c r="S81" s="25">
        <v>1</v>
      </c>
      <c r="T81" s="25">
        <v>0</v>
      </c>
      <c r="U81" s="25">
        <v>0</v>
      </c>
      <c r="V81" s="25">
        <v>0</v>
      </c>
      <c r="W81" s="25">
        <v>0</v>
      </c>
      <c r="X81" s="25">
        <v>0</v>
      </c>
      <c r="Y81" s="25">
        <v>0</v>
      </c>
      <c r="Z81" s="25">
        <v>0</v>
      </c>
      <c r="AA81" s="25">
        <v>0</v>
      </c>
      <c r="AB81" s="25">
        <v>1</v>
      </c>
      <c r="AC81" s="25">
        <v>0</v>
      </c>
      <c r="AD81" s="25">
        <v>0</v>
      </c>
      <c r="AE81" s="25">
        <v>1</v>
      </c>
      <c r="AF81" s="25">
        <v>0</v>
      </c>
      <c r="AG81" s="25">
        <v>0</v>
      </c>
      <c r="AH81" s="25">
        <v>0</v>
      </c>
      <c r="AI81" s="25">
        <v>1</v>
      </c>
      <c r="AJ81" s="25">
        <v>0</v>
      </c>
      <c r="AK81" s="9">
        <v>1</v>
      </c>
      <c r="AL81" s="25">
        <v>0</v>
      </c>
      <c r="AM81" s="25">
        <v>1</v>
      </c>
      <c r="AN81" s="25">
        <v>0</v>
      </c>
      <c r="AO81" s="9" t="s">
        <v>59</v>
      </c>
      <c r="AP81" s="9" t="s">
        <v>59</v>
      </c>
      <c r="AQ81" s="9" t="s">
        <v>59</v>
      </c>
      <c r="AR81" s="25"/>
      <c r="AS81" s="25"/>
      <c r="AT81" s="25" t="s">
        <v>279</v>
      </c>
    </row>
    <row r="82" spans="1:155" s="9" customFormat="1" ht="13.75" customHeight="1">
      <c r="A82" s="31" t="s">
        <v>563</v>
      </c>
      <c r="B82" s="32" t="s">
        <v>564</v>
      </c>
      <c r="C82" s="32" t="s">
        <v>446</v>
      </c>
      <c r="D82" s="32" t="s">
        <v>565</v>
      </c>
      <c r="E82" s="32" t="s">
        <v>566</v>
      </c>
      <c r="F82" s="42">
        <v>2023</v>
      </c>
      <c r="G82" s="84" t="s">
        <v>1130</v>
      </c>
      <c r="H82" s="33" t="s">
        <v>75</v>
      </c>
      <c r="I82" s="33" t="s">
        <v>567</v>
      </c>
      <c r="J82" s="25">
        <v>1</v>
      </c>
      <c r="K82" s="25">
        <v>0</v>
      </c>
      <c r="L82" s="25">
        <v>1</v>
      </c>
      <c r="M82" s="25">
        <v>0</v>
      </c>
      <c r="N82" s="25" t="s">
        <v>59</v>
      </c>
      <c r="O82" s="25" t="s">
        <v>59</v>
      </c>
      <c r="P82" s="25" t="s">
        <v>59</v>
      </c>
      <c r="Q82" s="82">
        <v>1</v>
      </c>
      <c r="R82" s="25">
        <v>0</v>
      </c>
      <c r="S82" s="25">
        <v>1</v>
      </c>
      <c r="T82" s="25">
        <v>0</v>
      </c>
      <c r="U82" s="25">
        <v>0</v>
      </c>
      <c r="V82" s="25">
        <v>0</v>
      </c>
      <c r="W82" s="25">
        <v>0</v>
      </c>
      <c r="X82" s="25">
        <v>0</v>
      </c>
      <c r="Y82" s="25">
        <v>0</v>
      </c>
      <c r="Z82" s="25">
        <v>0</v>
      </c>
      <c r="AA82" s="25">
        <v>0</v>
      </c>
      <c r="AB82" s="25">
        <v>1</v>
      </c>
      <c r="AC82" s="25">
        <v>0</v>
      </c>
      <c r="AD82" s="25">
        <v>0</v>
      </c>
      <c r="AE82" s="25">
        <v>0</v>
      </c>
      <c r="AF82" s="25">
        <v>0</v>
      </c>
      <c r="AG82" s="25">
        <v>0</v>
      </c>
      <c r="AH82" s="25">
        <v>0</v>
      </c>
      <c r="AI82" s="25">
        <v>1</v>
      </c>
      <c r="AJ82" s="25">
        <v>0</v>
      </c>
      <c r="AK82" s="9">
        <v>1</v>
      </c>
      <c r="AL82" s="25">
        <v>0</v>
      </c>
      <c r="AM82" s="25">
        <v>1</v>
      </c>
      <c r="AN82" s="25">
        <v>0</v>
      </c>
      <c r="AO82" s="9" t="s">
        <v>59</v>
      </c>
      <c r="AP82" s="9" t="s">
        <v>59</v>
      </c>
      <c r="AQ82" s="9" t="s">
        <v>59</v>
      </c>
      <c r="AR82" s="25"/>
      <c r="AS82" s="25"/>
      <c r="AT82" s="25" t="s">
        <v>279</v>
      </c>
    </row>
    <row r="83" spans="1:155" s="9" customFormat="1" ht="13.75" customHeight="1">
      <c r="A83" s="28" t="s">
        <v>568</v>
      </c>
      <c r="B83" s="29" t="s">
        <v>569</v>
      </c>
      <c r="C83" s="29" t="s">
        <v>570</v>
      </c>
      <c r="D83" s="29" t="s">
        <v>571</v>
      </c>
      <c r="E83" s="29" t="s">
        <v>279</v>
      </c>
      <c r="F83" s="42">
        <v>2023</v>
      </c>
      <c r="G83" s="81" t="s">
        <v>1131</v>
      </c>
      <c r="H83" s="30" t="s">
        <v>159</v>
      </c>
      <c r="I83" s="30" t="s">
        <v>572</v>
      </c>
      <c r="J83" s="25">
        <v>1</v>
      </c>
      <c r="K83" s="25">
        <v>0</v>
      </c>
      <c r="L83" s="25">
        <v>0</v>
      </c>
      <c r="M83" s="25">
        <v>1</v>
      </c>
      <c r="N83" s="25">
        <v>1</v>
      </c>
      <c r="O83" s="25">
        <v>0</v>
      </c>
      <c r="P83" s="25">
        <v>1</v>
      </c>
      <c r="Q83" s="82">
        <v>1</v>
      </c>
      <c r="R83" s="25">
        <v>0</v>
      </c>
      <c r="S83" s="25">
        <v>1</v>
      </c>
      <c r="T83" s="25">
        <v>0</v>
      </c>
      <c r="U83" s="25">
        <v>0</v>
      </c>
      <c r="V83" s="25">
        <v>0</v>
      </c>
      <c r="W83" s="25">
        <v>0</v>
      </c>
      <c r="X83" s="25">
        <v>0</v>
      </c>
      <c r="Y83" s="25">
        <v>0</v>
      </c>
      <c r="Z83" s="25">
        <v>0</v>
      </c>
      <c r="AA83" s="25">
        <v>0</v>
      </c>
      <c r="AB83" s="25">
        <v>1</v>
      </c>
      <c r="AC83" s="25">
        <v>0</v>
      </c>
      <c r="AD83" s="25">
        <v>0</v>
      </c>
      <c r="AE83" s="25">
        <v>0</v>
      </c>
      <c r="AF83" s="25" t="s">
        <v>59</v>
      </c>
      <c r="AG83" s="25" t="s">
        <v>59</v>
      </c>
      <c r="AH83" s="25" t="s">
        <v>59</v>
      </c>
      <c r="AI83" s="25" t="s">
        <v>59</v>
      </c>
      <c r="AJ83" s="25">
        <v>0</v>
      </c>
      <c r="AK83" s="9">
        <v>1</v>
      </c>
      <c r="AL83" s="25">
        <v>0</v>
      </c>
      <c r="AM83" s="25">
        <v>1</v>
      </c>
      <c r="AN83" s="25">
        <v>0</v>
      </c>
      <c r="AO83" s="9" t="s">
        <v>59</v>
      </c>
      <c r="AP83" s="9" t="s">
        <v>59</v>
      </c>
      <c r="AQ83" s="9" t="s">
        <v>59</v>
      </c>
      <c r="AR83" s="25"/>
      <c r="AS83" s="25"/>
      <c r="AT83" s="25" t="s">
        <v>279</v>
      </c>
    </row>
    <row r="84" spans="1:155" s="9" customFormat="1" ht="13.75" customHeight="1">
      <c r="A84" s="31" t="s">
        <v>573</v>
      </c>
      <c r="B84" s="32" t="s">
        <v>574</v>
      </c>
      <c r="C84" s="32" t="s">
        <v>575</v>
      </c>
      <c r="D84" s="32" t="s">
        <v>576</v>
      </c>
      <c r="E84" s="32" t="s">
        <v>577</v>
      </c>
      <c r="F84" s="42">
        <v>2023</v>
      </c>
      <c r="G84" s="84" t="s">
        <v>1132</v>
      </c>
      <c r="H84" s="33" t="s">
        <v>513</v>
      </c>
      <c r="I84" s="33" t="s">
        <v>578</v>
      </c>
      <c r="J84" s="25">
        <v>1</v>
      </c>
      <c r="K84" s="25">
        <v>0</v>
      </c>
      <c r="L84" s="25">
        <v>1</v>
      </c>
      <c r="M84" s="25">
        <v>0</v>
      </c>
      <c r="N84" s="25" t="s">
        <v>59</v>
      </c>
      <c r="O84" s="25" t="s">
        <v>59</v>
      </c>
      <c r="P84" s="25" t="s">
        <v>59</v>
      </c>
      <c r="Q84" s="82" t="s">
        <v>59</v>
      </c>
      <c r="R84" s="25" t="s">
        <v>59</v>
      </c>
      <c r="S84" s="25" t="s">
        <v>59</v>
      </c>
      <c r="T84" s="25">
        <v>0</v>
      </c>
      <c r="U84" s="25">
        <v>0</v>
      </c>
      <c r="V84" s="25">
        <v>0</v>
      </c>
      <c r="W84" s="25">
        <v>0</v>
      </c>
      <c r="X84" s="25">
        <v>0</v>
      </c>
      <c r="Y84" s="25">
        <v>0</v>
      </c>
      <c r="Z84" s="25">
        <v>0</v>
      </c>
      <c r="AA84" s="25">
        <v>0</v>
      </c>
      <c r="AB84" s="25">
        <v>0</v>
      </c>
      <c r="AC84" s="25">
        <v>0</v>
      </c>
      <c r="AD84" s="25">
        <v>0</v>
      </c>
      <c r="AE84" s="25">
        <v>1</v>
      </c>
      <c r="AF84" s="25" t="s">
        <v>59</v>
      </c>
      <c r="AG84" s="25" t="s">
        <v>59</v>
      </c>
      <c r="AH84" s="25" t="s">
        <v>59</v>
      </c>
      <c r="AI84" s="25" t="s">
        <v>59</v>
      </c>
      <c r="AJ84" s="25">
        <v>0</v>
      </c>
      <c r="AK84" s="9">
        <v>1</v>
      </c>
      <c r="AL84" s="25">
        <v>0</v>
      </c>
      <c r="AM84" s="25">
        <v>1</v>
      </c>
      <c r="AN84" s="25">
        <v>0</v>
      </c>
      <c r="AO84" s="9" t="s">
        <v>59</v>
      </c>
      <c r="AP84" s="9" t="s">
        <v>59</v>
      </c>
      <c r="AQ84" s="9" t="s">
        <v>59</v>
      </c>
      <c r="AR84" s="25"/>
      <c r="AS84" s="25"/>
      <c r="AT84" s="25" t="s">
        <v>279</v>
      </c>
    </row>
    <row r="85" spans="1:155" s="9" customFormat="1" ht="13.75" customHeight="1">
      <c r="A85" s="28" t="s">
        <v>580</v>
      </c>
      <c r="B85" s="29" t="s">
        <v>581</v>
      </c>
      <c r="C85" s="29" t="s">
        <v>307</v>
      </c>
      <c r="D85" s="29" t="s">
        <v>582</v>
      </c>
      <c r="E85" s="29" t="s">
        <v>583</v>
      </c>
      <c r="F85" s="42">
        <v>2023</v>
      </c>
      <c r="G85" s="81" t="s">
        <v>1133</v>
      </c>
      <c r="H85" s="30" t="s">
        <v>183</v>
      </c>
      <c r="I85" s="30" t="s">
        <v>584</v>
      </c>
      <c r="J85" s="25">
        <v>1</v>
      </c>
      <c r="K85" s="25">
        <v>0</v>
      </c>
      <c r="L85" s="25">
        <v>0</v>
      </c>
      <c r="M85" s="25">
        <v>1</v>
      </c>
      <c r="N85" s="25">
        <v>1</v>
      </c>
      <c r="O85" s="25">
        <v>0</v>
      </c>
      <c r="P85" s="25">
        <v>0</v>
      </c>
      <c r="Q85" s="82" t="s">
        <v>59</v>
      </c>
      <c r="R85" s="25" t="s">
        <v>59</v>
      </c>
      <c r="S85" s="25" t="s">
        <v>59</v>
      </c>
      <c r="T85" s="25">
        <v>0</v>
      </c>
      <c r="U85" s="25">
        <v>0</v>
      </c>
      <c r="V85" s="25">
        <v>0</v>
      </c>
      <c r="W85" s="25">
        <v>0</v>
      </c>
      <c r="X85" s="25">
        <v>0</v>
      </c>
      <c r="Y85" s="25">
        <v>0</v>
      </c>
      <c r="Z85" s="25">
        <v>0</v>
      </c>
      <c r="AA85" s="25">
        <v>0</v>
      </c>
      <c r="AB85" s="25">
        <v>0</v>
      </c>
      <c r="AC85" s="25">
        <v>0</v>
      </c>
      <c r="AD85" s="25">
        <v>0</v>
      </c>
      <c r="AE85" s="25">
        <v>1</v>
      </c>
      <c r="AF85" s="25">
        <v>1</v>
      </c>
      <c r="AG85" s="25">
        <v>1</v>
      </c>
      <c r="AH85" s="25">
        <v>1</v>
      </c>
      <c r="AI85" s="25">
        <v>0</v>
      </c>
      <c r="AJ85" s="25">
        <v>0</v>
      </c>
      <c r="AK85" s="9">
        <v>1</v>
      </c>
      <c r="AL85" s="25">
        <v>0</v>
      </c>
      <c r="AM85" s="25">
        <v>1</v>
      </c>
      <c r="AN85" s="25">
        <v>0</v>
      </c>
      <c r="AO85" s="9" t="s">
        <v>59</v>
      </c>
      <c r="AP85" s="9" t="s">
        <v>59</v>
      </c>
      <c r="AQ85" s="9" t="s">
        <v>59</v>
      </c>
      <c r="AR85" s="25"/>
      <c r="AS85" s="25"/>
      <c r="AT85" s="25" t="s">
        <v>279</v>
      </c>
    </row>
    <row r="86" spans="1:155" s="9" customFormat="1" ht="13.75" customHeight="1">
      <c r="A86" s="28" t="s">
        <v>585</v>
      </c>
      <c r="B86" s="29" t="s">
        <v>586</v>
      </c>
      <c r="C86" s="29" t="s">
        <v>120</v>
      </c>
      <c r="D86" s="29" t="s">
        <v>587</v>
      </c>
      <c r="E86" s="29" t="s">
        <v>588</v>
      </c>
      <c r="F86" s="42">
        <v>2023</v>
      </c>
      <c r="G86" s="81" t="s">
        <v>1134</v>
      </c>
      <c r="H86" s="30" t="s">
        <v>124</v>
      </c>
      <c r="I86" s="30" t="s">
        <v>589</v>
      </c>
      <c r="J86" s="25">
        <v>1</v>
      </c>
      <c r="K86" s="25">
        <v>0</v>
      </c>
      <c r="L86" s="25">
        <v>0</v>
      </c>
      <c r="M86" s="25">
        <v>1</v>
      </c>
      <c r="N86" s="25">
        <v>1</v>
      </c>
      <c r="O86" s="25">
        <v>0</v>
      </c>
      <c r="P86" s="25">
        <v>0</v>
      </c>
      <c r="Q86" s="82">
        <v>0</v>
      </c>
      <c r="R86" s="25">
        <v>0</v>
      </c>
      <c r="S86" s="25">
        <v>1</v>
      </c>
      <c r="T86" s="25">
        <v>1</v>
      </c>
      <c r="U86" s="25">
        <v>0</v>
      </c>
      <c r="V86" s="25">
        <v>1</v>
      </c>
      <c r="W86" s="25">
        <v>0</v>
      </c>
      <c r="X86" s="25">
        <v>0</v>
      </c>
      <c r="Y86" s="25">
        <v>0</v>
      </c>
      <c r="Z86" s="25">
        <v>1</v>
      </c>
      <c r="AA86" s="25">
        <v>0</v>
      </c>
      <c r="AB86" s="25">
        <v>1</v>
      </c>
      <c r="AC86" s="25">
        <v>0</v>
      </c>
      <c r="AD86" s="25">
        <v>0</v>
      </c>
      <c r="AE86" s="25">
        <v>0</v>
      </c>
      <c r="AF86" s="25">
        <v>1</v>
      </c>
      <c r="AG86" s="25">
        <v>1</v>
      </c>
      <c r="AH86" s="25">
        <v>1</v>
      </c>
      <c r="AI86" s="25">
        <v>0</v>
      </c>
      <c r="AJ86" s="25">
        <v>0</v>
      </c>
      <c r="AK86" s="9">
        <v>1</v>
      </c>
      <c r="AL86" s="25">
        <v>0</v>
      </c>
      <c r="AM86" s="25">
        <v>1</v>
      </c>
      <c r="AN86" s="25">
        <v>0</v>
      </c>
      <c r="AO86" s="9" t="s">
        <v>59</v>
      </c>
      <c r="AP86" s="9" t="s">
        <v>59</v>
      </c>
      <c r="AQ86" s="9" t="s">
        <v>59</v>
      </c>
      <c r="AR86" s="25"/>
      <c r="AS86" s="25"/>
      <c r="AT86" s="25" t="s">
        <v>279</v>
      </c>
    </row>
    <row r="87" spans="1:155" s="9" customFormat="1" ht="13.75" customHeight="1">
      <c r="A87" s="28" t="s">
        <v>590</v>
      </c>
      <c r="B87" s="29" t="s">
        <v>591</v>
      </c>
      <c r="C87" s="29" t="s">
        <v>592</v>
      </c>
      <c r="D87" s="29" t="s">
        <v>279</v>
      </c>
      <c r="E87" s="29" t="s">
        <v>593</v>
      </c>
      <c r="F87" s="42">
        <v>2023</v>
      </c>
      <c r="G87" s="81" t="s">
        <v>1135</v>
      </c>
      <c r="H87" s="30" t="s">
        <v>75</v>
      </c>
      <c r="I87" s="30" t="s">
        <v>594</v>
      </c>
      <c r="J87" s="25">
        <v>1</v>
      </c>
      <c r="K87" s="25">
        <v>0</v>
      </c>
      <c r="L87" s="25">
        <v>0</v>
      </c>
      <c r="M87" s="25">
        <v>1</v>
      </c>
      <c r="N87" s="25" t="s">
        <v>59</v>
      </c>
      <c r="O87" s="25" t="s">
        <v>59</v>
      </c>
      <c r="P87" s="25" t="s">
        <v>59</v>
      </c>
      <c r="Q87" s="82" t="s">
        <v>59</v>
      </c>
      <c r="R87" s="25" t="s">
        <v>59</v>
      </c>
      <c r="S87" s="25" t="s">
        <v>59</v>
      </c>
      <c r="T87" s="25">
        <v>1</v>
      </c>
      <c r="U87" s="25">
        <v>0</v>
      </c>
      <c r="V87" s="25">
        <v>0</v>
      </c>
      <c r="W87" s="25">
        <v>0</v>
      </c>
      <c r="X87" s="25">
        <v>0</v>
      </c>
      <c r="Y87" s="25">
        <v>0</v>
      </c>
      <c r="Z87" s="25">
        <v>0</v>
      </c>
      <c r="AA87" s="25">
        <v>0</v>
      </c>
      <c r="AB87" s="25">
        <v>1</v>
      </c>
      <c r="AC87" s="25">
        <v>0</v>
      </c>
      <c r="AD87" s="25">
        <v>0</v>
      </c>
      <c r="AE87" s="25">
        <v>0</v>
      </c>
      <c r="AF87" s="25">
        <v>1</v>
      </c>
      <c r="AG87" s="25">
        <v>1</v>
      </c>
      <c r="AH87" s="25">
        <v>1</v>
      </c>
      <c r="AI87" s="25">
        <v>0</v>
      </c>
      <c r="AJ87" s="25">
        <v>0</v>
      </c>
      <c r="AK87" s="9">
        <v>1</v>
      </c>
      <c r="AL87" s="25">
        <v>0</v>
      </c>
      <c r="AM87" s="25">
        <v>1</v>
      </c>
      <c r="AN87" s="25">
        <v>0</v>
      </c>
      <c r="AO87" s="9" t="s">
        <v>59</v>
      </c>
      <c r="AP87" s="9" t="s">
        <v>59</v>
      </c>
      <c r="AQ87" s="9" t="s">
        <v>59</v>
      </c>
      <c r="AR87" s="25"/>
      <c r="AS87" s="25"/>
      <c r="AT87" s="25" t="s">
        <v>279</v>
      </c>
    </row>
    <row r="88" spans="1:155" s="9" customFormat="1" ht="13.75" customHeight="1">
      <c r="A88" s="42" t="s">
        <v>595</v>
      </c>
      <c r="B88" s="42" t="s">
        <v>596</v>
      </c>
      <c r="C88" s="42" t="s">
        <v>74</v>
      </c>
      <c r="D88" s="42" t="s">
        <v>597</v>
      </c>
      <c r="E88" s="42" t="s">
        <v>598</v>
      </c>
      <c r="F88" s="42">
        <v>2023</v>
      </c>
      <c r="G88" s="83" t="s">
        <v>1136</v>
      </c>
      <c r="H88" s="43" t="s">
        <v>75</v>
      </c>
      <c r="I88" s="43" t="s">
        <v>599</v>
      </c>
      <c r="J88" s="44">
        <v>1</v>
      </c>
      <c r="K88" s="44">
        <v>0</v>
      </c>
      <c r="L88" s="44">
        <v>0</v>
      </c>
      <c r="M88" s="44">
        <v>0</v>
      </c>
      <c r="N88" s="44" t="s">
        <v>59</v>
      </c>
      <c r="O88" s="44" t="s">
        <v>59</v>
      </c>
      <c r="P88" s="44" t="s">
        <v>59</v>
      </c>
      <c r="Q88" s="44" t="s">
        <v>59</v>
      </c>
      <c r="R88" s="44" t="s">
        <v>59</v>
      </c>
      <c r="S88" s="44" t="s">
        <v>59</v>
      </c>
      <c r="T88" s="44">
        <v>1</v>
      </c>
      <c r="U88" s="44">
        <v>0</v>
      </c>
      <c r="V88" s="44">
        <v>0</v>
      </c>
      <c r="W88" s="44">
        <v>0</v>
      </c>
      <c r="X88" s="44">
        <v>0</v>
      </c>
      <c r="Y88" s="44">
        <v>0</v>
      </c>
      <c r="Z88" s="44">
        <v>1</v>
      </c>
      <c r="AA88" s="44">
        <v>0</v>
      </c>
      <c r="AB88" s="44">
        <v>1</v>
      </c>
      <c r="AC88" s="44">
        <v>0</v>
      </c>
      <c r="AD88" s="44">
        <v>0</v>
      </c>
      <c r="AE88" s="44">
        <v>0</v>
      </c>
      <c r="AF88" s="44">
        <v>0</v>
      </c>
      <c r="AG88" s="44">
        <v>1</v>
      </c>
      <c r="AH88" s="44">
        <v>1</v>
      </c>
      <c r="AI88" s="44">
        <v>0</v>
      </c>
      <c r="AJ88" s="44">
        <v>1</v>
      </c>
      <c r="AK88" s="44">
        <v>1</v>
      </c>
      <c r="AL88" s="44">
        <v>1</v>
      </c>
      <c r="AM88" s="44">
        <v>1</v>
      </c>
      <c r="AN88" s="44">
        <v>0</v>
      </c>
      <c r="AO88" s="44">
        <v>0</v>
      </c>
      <c r="AP88" s="44">
        <v>0</v>
      </c>
      <c r="AQ88" s="44">
        <v>0</v>
      </c>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row>
    <row r="89" spans="1:155" s="9" customFormat="1" ht="13.75" customHeight="1">
      <c r="A89" s="28" t="s">
        <v>602</v>
      </c>
      <c r="B89" s="29" t="s">
        <v>603</v>
      </c>
      <c r="C89" s="29" t="s">
        <v>86</v>
      </c>
      <c r="D89" s="29" t="s">
        <v>604</v>
      </c>
      <c r="E89" s="29" t="s">
        <v>308</v>
      </c>
      <c r="F89" s="42">
        <v>2023</v>
      </c>
      <c r="G89" s="81" t="s">
        <v>1137</v>
      </c>
      <c r="H89" s="30" t="s">
        <v>57</v>
      </c>
      <c r="I89" s="30" t="s">
        <v>605</v>
      </c>
      <c r="J89" s="25">
        <v>1</v>
      </c>
      <c r="K89" s="25">
        <v>0</v>
      </c>
      <c r="L89" s="25">
        <v>0</v>
      </c>
      <c r="M89" s="25">
        <v>1</v>
      </c>
      <c r="N89" s="25">
        <v>1</v>
      </c>
      <c r="O89" s="25">
        <v>0</v>
      </c>
      <c r="P89" s="25">
        <v>0</v>
      </c>
      <c r="Q89" s="82" t="s">
        <v>59</v>
      </c>
      <c r="R89" s="25" t="s">
        <v>59</v>
      </c>
      <c r="S89" s="25" t="s">
        <v>59</v>
      </c>
      <c r="T89" s="25">
        <v>0</v>
      </c>
      <c r="U89" s="25">
        <v>0</v>
      </c>
      <c r="V89" s="25">
        <v>0</v>
      </c>
      <c r="W89" s="25">
        <v>0</v>
      </c>
      <c r="X89" s="25">
        <v>0</v>
      </c>
      <c r="Y89" s="25">
        <v>0</v>
      </c>
      <c r="Z89" s="25">
        <v>0</v>
      </c>
      <c r="AA89" s="25">
        <v>0</v>
      </c>
      <c r="AB89" s="25">
        <v>0</v>
      </c>
      <c r="AC89" s="25">
        <v>1</v>
      </c>
      <c r="AD89" s="25">
        <v>0</v>
      </c>
      <c r="AE89" s="25">
        <v>1</v>
      </c>
      <c r="AF89" s="25">
        <v>0</v>
      </c>
      <c r="AG89" s="25">
        <v>1</v>
      </c>
      <c r="AH89" s="25">
        <v>1</v>
      </c>
      <c r="AI89" s="25">
        <v>0</v>
      </c>
      <c r="AJ89" s="25">
        <v>0</v>
      </c>
      <c r="AK89" s="9">
        <v>1</v>
      </c>
      <c r="AL89" s="25">
        <v>0</v>
      </c>
      <c r="AM89" s="25">
        <v>1</v>
      </c>
      <c r="AN89" s="25">
        <v>0</v>
      </c>
      <c r="AO89" s="9" t="s">
        <v>59</v>
      </c>
      <c r="AP89" s="9" t="s">
        <v>59</v>
      </c>
      <c r="AQ89" s="9" t="s">
        <v>59</v>
      </c>
      <c r="AR89" s="25"/>
      <c r="AS89" s="25"/>
      <c r="AT89" s="25" t="s">
        <v>279</v>
      </c>
    </row>
    <row r="90" spans="1:155" s="9" customFormat="1" ht="13.75" customHeight="1">
      <c r="A90" s="28" t="s">
        <v>606</v>
      </c>
      <c r="B90" s="29" t="s">
        <v>607</v>
      </c>
      <c r="C90" s="29" t="s">
        <v>464</v>
      </c>
      <c r="D90" s="29" t="s">
        <v>608</v>
      </c>
      <c r="E90" s="29" t="s">
        <v>609</v>
      </c>
      <c r="F90" s="42">
        <v>2023</v>
      </c>
      <c r="G90" s="81" t="s">
        <v>1138</v>
      </c>
      <c r="H90" s="30" t="s">
        <v>105</v>
      </c>
      <c r="I90" s="30" t="s">
        <v>610</v>
      </c>
      <c r="J90" s="25">
        <v>1</v>
      </c>
      <c r="K90" s="25">
        <v>0</v>
      </c>
      <c r="L90" s="25">
        <v>0</v>
      </c>
      <c r="M90" s="25">
        <v>1</v>
      </c>
      <c r="N90" s="25">
        <v>1</v>
      </c>
      <c r="O90" s="25">
        <v>0</v>
      </c>
      <c r="P90" s="25">
        <v>0</v>
      </c>
      <c r="Q90" s="82" t="s">
        <v>59</v>
      </c>
      <c r="R90" s="25" t="s">
        <v>59</v>
      </c>
      <c r="S90" s="25" t="s">
        <v>59</v>
      </c>
      <c r="T90" s="25">
        <v>0</v>
      </c>
      <c r="U90" s="25">
        <v>0</v>
      </c>
      <c r="V90" s="25">
        <v>0</v>
      </c>
      <c r="W90" s="25">
        <v>0</v>
      </c>
      <c r="X90" s="25">
        <v>0</v>
      </c>
      <c r="Y90" s="25">
        <v>0</v>
      </c>
      <c r="Z90" s="25">
        <v>0</v>
      </c>
      <c r="AA90" s="25">
        <v>0</v>
      </c>
      <c r="AB90" s="25">
        <v>0</v>
      </c>
      <c r="AC90" s="25">
        <v>0</v>
      </c>
      <c r="AD90" s="25">
        <v>0</v>
      </c>
      <c r="AE90" s="25">
        <v>1</v>
      </c>
      <c r="AF90" s="25">
        <v>0</v>
      </c>
      <c r="AG90" s="25">
        <v>1</v>
      </c>
      <c r="AH90" s="25">
        <v>1</v>
      </c>
      <c r="AI90" s="25">
        <v>0</v>
      </c>
      <c r="AJ90" s="25">
        <v>0</v>
      </c>
      <c r="AK90" s="9">
        <v>1</v>
      </c>
      <c r="AL90" s="25">
        <v>0</v>
      </c>
      <c r="AM90" s="25">
        <v>1</v>
      </c>
      <c r="AN90" s="25">
        <v>0</v>
      </c>
      <c r="AO90" s="9" t="s">
        <v>59</v>
      </c>
      <c r="AP90" s="9" t="s">
        <v>59</v>
      </c>
      <c r="AQ90" s="9" t="s">
        <v>59</v>
      </c>
      <c r="AR90" s="25"/>
      <c r="AS90" s="25"/>
      <c r="AT90" s="25" t="s">
        <v>279</v>
      </c>
    </row>
    <row r="91" spans="1:155" s="9" customFormat="1" ht="13.75" customHeight="1">
      <c r="A91" s="31" t="s">
        <v>611</v>
      </c>
      <c r="B91" s="32" t="s">
        <v>612</v>
      </c>
      <c r="C91" s="32" t="s">
        <v>307</v>
      </c>
      <c r="D91" s="32" t="s">
        <v>613</v>
      </c>
      <c r="E91" s="32" t="s">
        <v>614</v>
      </c>
      <c r="F91" s="42">
        <v>2023</v>
      </c>
      <c r="G91" s="84" t="s">
        <v>1139</v>
      </c>
      <c r="H91" s="33" t="s">
        <v>183</v>
      </c>
      <c r="I91" s="33" t="s">
        <v>615</v>
      </c>
      <c r="J91" s="25">
        <v>1</v>
      </c>
      <c r="K91" s="25">
        <v>0</v>
      </c>
      <c r="L91" s="25">
        <v>0</v>
      </c>
      <c r="M91" s="25">
        <v>1</v>
      </c>
      <c r="N91" s="25">
        <v>1</v>
      </c>
      <c r="O91" s="25">
        <v>0</v>
      </c>
      <c r="P91" s="25">
        <v>0</v>
      </c>
      <c r="Q91" s="82" t="s">
        <v>59</v>
      </c>
      <c r="R91" s="25" t="s">
        <v>59</v>
      </c>
      <c r="S91" s="25" t="s">
        <v>59</v>
      </c>
      <c r="T91" s="25">
        <v>0</v>
      </c>
      <c r="U91" s="25">
        <v>0</v>
      </c>
      <c r="V91" s="25">
        <v>0</v>
      </c>
      <c r="W91" s="25">
        <v>0</v>
      </c>
      <c r="X91" s="25">
        <v>0</v>
      </c>
      <c r="Y91" s="25">
        <v>0</v>
      </c>
      <c r="Z91" s="25">
        <v>0</v>
      </c>
      <c r="AA91" s="25">
        <v>0</v>
      </c>
      <c r="AB91" s="25">
        <v>1</v>
      </c>
      <c r="AC91" s="25">
        <v>0</v>
      </c>
      <c r="AD91" s="25">
        <v>0</v>
      </c>
      <c r="AE91" s="25">
        <v>0</v>
      </c>
      <c r="AF91" s="25" t="s">
        <v>59</v>
      </c>
      <c r="AG91" s="25" t="s">
        <v>59</v>
      </c>
      <c r="AH91" s="25" t="s">
        <v>59</v>
      </c>
      <c r="AI91" s="25" t="s">
        <v>59</v>
      </c>
      <c r="AJ91" s="25">
        <v>0</v>
      </c>
      <c r="AK91" s="9">
        <v>1</v>
      </c>
      <c r="AL91" s="25">
        <v>0</v>
      </c>
      <c r="AM91" s="25">
        <v>1</v>
      </c>
      <c r="AN91" s="25">
        <v>0</v>
      </c>
      <c r="AO91" s="9" t="s">
        <v>59</v>
      </c>
      <c r="AP91" s="9" t="s">
        <v>59</v>
      </c>
      <c r="AQ91" s="9" t="s">
        <v>59</v>
      </c>
      <c r="AR91" s="25"/>
      <c r="AS91" s="25"/>
      <c r="AT91" s="25" t="s">
        <v>279</v>
      </c>
    </row>
    <row r="92" spans="1:155" s="9" customFormat="1" ht="13.75" customHeight="1">
      <c r="A92" s="28" t="s">
        <v>616</v>
      </c>
      <c r="B92" s="28" t="s">
        <v>617</v>
      </c>
      <c r="C92" s="28" t="s">
        <v>197</v>
      </c>
      <c r="D92" s="28" t="s">
        <v>618</v>
      </c>
      <c r="E92" s="28" t="s">
        <v>619</v>
      </c>
      <c r="F92" s="42">
        <v>2023</v>
      </c>
      <c r="G92" s="85" t="s">
        <v>1140</v>
      </c>
      <c r="H92" s="34" t="s">
        <v>198</v>
      </c>
      <c r="I92" s="34" t="s">
        <v>620</v>
      </c>
      <c r="J92" s="13">
        <v>1</v>
      </c>
      <c r="K92" s="13">
        <v>0</v>
      </c>
      <c r="L92" s="13">
        <v>0</v>
      </c>
      <c r="M92" s="13">
        <v>1</v>
      </c>
      <c r="N92" s="13">
        <v>1</v>
      </c>
      <c r="O92" s="13">
        <v>0</v>
      </c>
      <c r="P92" s="13">
        <v>1</v>
      </c>
      <c r="Q92" s="13">
        <v>1</v>
      </c>
      <c r="R92" s="13">
        <v>0</v>
      </c>
      <c r="S92" s="13">
        <v>1</v>
      </c>
      <c r="T92" s="13">
        <v>0</v>
      </c>
      <c r="U92" s="13">
        <v>0</v>
      </c>
      <c r="V92" s="13">
        <v>0</v>
      </c>
      <c r="W92" s="13">
        <v>0</v>
      </c>
      <c r="X92" s="13">
        <v>0</v>
      </c>
      <c r="Y92" s="13">
        <v>0</v>
      </c>
      <c r="Z92" s="13">
        <v>0</v>
      </c>
      <c r="AA92" s="13">
        <v>0</v>
      </c>
      <c r="AB92" s="13">
        <v>1</v>
      </c>
      <c r="AC92" s="13">
        <v>0</v>
      </c>
      <c r="AD92" s="13">
        <v>0</v>
      </c>
      <c r="AE92" s="13">
        <v>0</v>
      </c>
      <c r="AF92" s="13" t="s">
        <v>59</v>
      </c>
      <c r="AG92" s="13" t="s">
        <v>59</v>
      </c>
      <c r="AH92" s="13" t="s">
        <v>59</v>
      </c>
      <c r="AI92" s="13" t="s">
        <v>59</v>
      </c>
      <c r="AJ92" s="13">
        <v>0</v>
      </c>
      <c r="AK92" s="13">
        <v>0</v>
      </c>
      <c r="AL92" s="13">
        <v>1</v>
      </c>
      <c r="AM92" s="13">
        <v>1</v>
      </c>
      <c r="AN92" s="13">
        <v>0</v>
      </c>
      <c r="AO92" s="13" t="s">
        <v>59</v>
      </c>
      <c r="AP92" s="13" t="s">
        <v>59</v>
      </c>
      <c r="AQ92" s="13" t="s">
        <v>59</v>
      </c>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row>
    <row r="93" spans="1:155" s="9" customFormat="1" ht="13.75" customHeight="1">
      <c r="A93" s="28" t="s">
        <v>621</v>
      </c>
      <c r="B93" s="29" t="s">
        <v>622</v>
      </c>
      <c r="C93" s="29" t="s">
        <v>623</v>
      </c>
      <c r="D93" s="29" t="s">
        <v>624</v>
      </c>
      <c r="E93" s="29" t="s">
        <v>625</v>
      </c>
      <c r="F93" s="42">
        <v>2023</v>
      </c>
      <c r="G93" s="81" t="s">
        <v>1141</v>
      </c>
      <c r="H93" s="30" t="s">
        <v>75</v>
      </c>
      <c r="I93" s="30" t="s">
        <v>626</v>
      </c>
      <c r="J93" s="25">
        <v>1</v>
      </c>
      <c r="K93" s="25">
        <v>0</v>
      </c>
      <c r="L93" s="25">
        <v>0</v>
      </c>
      <c r="M93" s="25">
        <v>1</v>
      </c>
      <c r="N93" s="25" t="s">
        <v>59</v>
      </c>
      <c r="O93" s="25" t="s">
        <v>59</v>
      </c>
      <c r="P93" s="25" t="s">
        <v>59</v>
      </c>
      <c r="Q93" s="82" t="s">
        <v>59</v>
      </c>
      <c r="R93" s="25" t="s">
        <v>59</v>
      </c>
      <c r="S93" s="25" t="s">
        <v>59</v>
      </c>
      <c r="T93" s="25">
        <v>0</v>
      </c>
      <c r="U93" s="25">
        <v>0</v>
      </c>
      <c r="V93" s="25">
        <v>0</v>
      </c>
      <c r="W93" s="25">
        <v>0</v>
      </c>
      <c r="X93" s="25">
        <v>0</v>
      </c>
      <c r="Y93" s="25">
        <v>0</v>
      </c>
      <c r="Z93" s="25">
        <v>0</v>
      </c>
      <c r="AA93" s="25">
        <v>0</v>
      </c>
      <c r="AB93" s="25">
        <v>0</v>
      </c>
      <c r="AC93" s="25">
        <v>0</v>
      </c>
      <c r="AD93" s="25">
        <v>0</v>
      </c>
      <c r="AE93" s="25">
        <v>1</v>
      </c>
      <c r="AF93" s="25">
        <v>1</v>
      </c>
      <c r="AG93" s="25">
        <v>0</v>
      </c>
      <c r="AH93" s="25">
        <v>0</v>
      </c>
      <c r="AI93" s="25">
        <v>0</v>
      </c>
      <c r="AJ93" s="25">
        <v>0</v>
      </c>
      <c r="AK93" s="9">
        <v>1</v>
      </c>
      <c r="AL93" s="25">
        <v>0</v>
      </c>
      <c r="AM93" s="25">
        <v>1</v>
      </c>
      <c r="AN93" s="25">
        <v>0</v>
      </c>
      <c r="AO93" s="9" t="s">
        <v>59</v>
      </c>
      <c r="AP93" s="9" t="s">
        <v>59</v>
      </c>
      <c r="AQ93" s="9" t="s">
        <v>59</v>
      </c>
      <c r="AR93" s="25"/>
      <c r="AS93" s="25"/>
      <c r="AT93" s="25" t="s">
        <v>279</v>
      </c>
    </row>
    <row r="94" spans="1:155" s="9" customFormat="1" ht="13.75" customHeight="1">
      <c r="A94" s="28" t="s">
        <v>627</v>
      </c>
      <c r="B94" s="28" t="s">
        <v>628</v>
      </c>
      <c r="C94" s="28" t="s">
        <v>162</v>
      </c>
      <c r="D94" s="28" t="s">
        <v>629</v>
      </c>
      <c r="E94" s="28" t="s">
        <v>630</v>
      </c>
      <c r="F94" s="42">
        <v>2023</v>
      </c>
      <c r="G94" s="85" t="s">
        <v>1142</v>
      </c>
      <c r="H94" s="34" t="s">
        <v>124</v>
      </c>
      <c r="I94" s="34" t="s">
        <v>631</v>
      </c>
      <c r="J94" s="13">
        <v>1</v>
      </c>
      <c r="K94" s="13">
        <v>0</v>
      </c>
      <c r="L94" s="13">
        <v>0</v>
      </c>
      <c r="M94" s="13">
        <v>0</v>
      </c>
      <c r="N94" s="13">
        <v>1</v>
      </c>
      <c r="O94" s="13">
        <v>0</v>
      </c>
      <c r="P94" s="13">
        <v>0</v>
      </c>
      <c r="Q94" s="13" t="s">
        <v>59</v>
      </c>
      <c r="R94" s="13" t="s">
        <v>59</v>
      </c>
      <c r="S94" s="13" t="s">
        <v>59</v>
      </c>
      <c r="T94" s="13">
        <v>0</v>
      </c>
      <c r="U94" s="13">
        <v>0</v>
      </c>
      <c r="V94" s="13">
        <v>0</v>
      </c>
      <c r="W94" s="13">
        <v>0</v>
      </c>
      <c r="X94" s="13">
        <v>0</v>
      </c>
      <c r="Y94" s="13">
        <v>0</v>
      </c>
      <c r="Z94" s="13">
        <v>0</v>
      </c>
      <c r="AA94" s="13">
        <v>0</v>
      </c>
      <c r="AB94" s="13">
        <v>1</v>
      </c>
      <c r="AC94" s="13">
        <v>0</v>
      </c>
      <c r="AD94" s="13">
        <v>0</v>
      </c>
      <c r="AE94" s="13">
        <v>0</v>
      </c>
      <c r="AF94" s="13">
        <v>0</v>
      </c>
      <c r="AG94" s="13">
        <v>1</v>
      </c>
      <c r="AH94" s="13">
        <v>0</v>
      </c>
      <c r="AI94" s="13">
        <v>0</v>
      </c>
      <c r="AJ94" s="13">
        <v>0</v>
      </c>
      <c r="AK94" s="13">
        <v>0</v>
      </c>
      <c r="AL94" s="13">
        <v>1</v>
      </c>
      <c r="AM94" s="13">
        <v>1</v>
      </c>
      <c r="AN94" s="13">
        <v>0</v>
      </c>
      <c r="AO94" s="13">
        <v>0</v>
      </c>
      <c r="AP94" s="13">
        <v>0</v>
      </c>
      <c r="AQ94" s="13">
        <v>1</v>
      </c>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row>
    <row r="95" spans="1:155" s="9" customFormat="1" ht="13.75" customHeight="1">
      <c r="A95" s="28" t="s">
        <v>632</v>
      </c>
      <c r="B95" s="28" t="s">
        <v>633</v>
      </c>
      <c r="C95" s="28" t="s">
        <v>464</v>
      </c>
      <c r="D95" s="28" t="s">
        <v>634</v>
      </c>
      <c r="E95" s="28" t="s">
        <v>635</v>
      </c>
      <c r="F95" s="42">
        <v>2023</v>
      </c>
      <c r="G95" s="85" t="s">
        <v>1143</v>
      </c>
      <c r="H95" s="34" t="s">
        <v>105</v>
      </c>
      <c r="I95" s="34" t="s">
        <v>636</v>
      </c>
      <c r="J95" s="13">
        <v>1</v>
      </c>
      <c r="K95" s="13">
        <v>0</v>
      </c>
      <c r="L95" s="13">
        <v>0</v>
      </c>
      <c r="M95" s="13">
        <v>1</v>
      </c>
      <c r="N95" s="13">
        <v>1</v>
      </c>
      <c r="O95" s="13">
        <v>0</v>
      </c>
      <c r="P95" s="13">
        <v>0</v>
      </c>
      <c r="Q95" s="13" t="s">
        <v>59</v>
      </c>
      <c r="R95" s="13" t="s">
        <v>59</v>
      </c>
      <c r="S95" s="13" t="s">
        <v>59</v>
      </c>
      <c r="T95" s="13">
        <v>0</v>
      </c>
      <c r="U95" s="13">
        <v>0</v>
      </c>
      <c r="V95" s="13">
        <v>0</v>
      </c>
      <c r="W95" s="13">
        <v>0</v>
      </c>
      <c r="X95" s="13">
        <v>0</v>
      </c>
      <c r="Y95" s="13">
        <v>0</v>
      </c>
      <c r="Z95" s="13">
        <v>0</v>
      </c>
      <c r="AA95" s="13">
        <v>0</v>
      </c>
      <c r="AB95" s="13">
        <v>0</v>
      </c>
      <c r="AC95" s="13">
        <v>0</v>
      </c>
      <c r="AD95" s="13">
        <v>0</v>
      </c>
      <c r="AE95" s="13">
        <v>1</v>
      </c>
      <c r="AF95" s="13">
        <v>1</v>
      </c>
      <c r="AG95" s="13">
        <v>1</v>
      </c>
      <c r="AH95" s="13">
        <v>1</v>
      </c>
      <c r="AI95" s="13">
        <v>0</v>
      </c>
      <c r="AJ95" s="13">
        <v>0</v>
      </c>
      <c r="AK95" s="13">
        <v>1</v>
      </c>
      <c r="AL95" s="13">
        <v>1</v>
      </c>
      <c r="AM95" s="13">
        <v>1</v>
      </c>
      <c r="AN95" s="13">
        <v>0</v>
      </c>
      <c r="AO95" s="13">
        <v>0</v>
      </c>
      <c r="AP95" s="13">
        <v>0</v>
      </c>
      <c r="AQ95" s="13">
        <v>1</v>
      </c>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row>
    <row r="96" spans="1:155" s="9" customFormat="1" ht="13.75" customHeight="1">
      <c r="A96" s="28" t="s">
        <v>637</v>
      </c>
      <c r="B96" s="29" t="s">
        <v>638</v>
      </c>
      <c r="C96" s="29" t="s">
        <v>464</v>
      </c>
      <c r="D96" s="29" t="s">
        <v>639</v>
      </c>
      <c r="E96" s="29" t="s">
        <v>640</v>
      </c>
      <c r="F96" s="42">
        <v>2023</v>
      </c>
      <c r="G96" s="81" t="s">
        <v>1144</v>
      </c>
      <c r="H96" s="30" t="s">
        <v>105</v>
      </c>
      <c r="I96" s="30" t="s">
        <v>641</v>
      </c>
      <c r="J96" s="25">
        <v>1</v>
      </c>
      <c r="K96" s="25">
        <v>0</v>
      </c>
      <c r="L96" s="25">
        <v>0</v>
      </c>
      <c r="M96" s="25">
        <v>1</v>
      </c>
      <c r="N96" s="25">
        <v>1</v>
      </c>
      <c r="O96" s="25">
        <v>0</v>
      </c>
      <c r="P96" s="25">
        <v>0</v>
      </c>
      <c r="Q96" s="82">
        <v>0</v>
      </c>
      <c r="R96" s="25">
        <v>0</v>
      </c>
      <c r="S96" s="25">
        <v>1</v>
      </c>
      <c r="T96" s="25">
        <v>0</v>
      </c>
      <c r="U96" s="25">
        <v>0</v>
      </c>
      <c r="V96" s="25">
        <v>0</v>
      </c>
      <c r="W96" s="25">
        <v>0</v>
      </c>
      <c r="X96" s="25">
        <v>0</v>
      </c>
      <c r="Y96" s="25">
        <v>0</v>
      </c>
      <c r="Z96" s="25">
        <v>0</v>
      </c>
      <c r="AA96" s="25">
        <v>1</v>
      </c>
      <c r="AB96" s="25">
        <v>0</v>
      </c>
      <c r="AC96" s="25">
        <v>0</v>
      </c>
      <c r="AD96" s="25">
        <v>0</v>
      </c>
      <c r="AE96" s="25">
        <v>0</v>
      </c>
      <c r="AF96" s="25">
        <v>1</v>
      </c>
      <c r="AG96" s="25">
        <v>1</v>
      </c>
      <c r="AH96" s="25">
        <v>1</v>
      </c>
      <c r="AI96" s="25">
        <v>0</v>
      </c>
      <c r="AJ96" s="25">
        <v>0</v>
      </c>
      <c r="AK96" s="9">
        <v>1</v>
      </c>
      <c r="AL96" s="25">
        <v>0</v>
      </c>
      <c r="AM96" s="25">
        <v>1</v>
      </c>
      <c r="AN96" s="25">
        <v>0</v>
      </c>
      <c r="AO96" s="9" t="s">
        <v>59</v>
      </c>
      <c r="AP96" s="9" t="s">
        <v>59</v>
      </c>
      <c r="AQ96" s="9" t="s">
        <v>59</v>
      </c>
      <c r="AR96" s="25"/>
      <c r="AS96" s="25"/>
      <c r="AT96" s="25" t="s">
        <v>279</v>
      </c>
    </row>
    <row r="97" spans="1:155" s="9" customFormat="1" ht="13.75" customHeight="1">
      <c r="A97" s="31" t="s">
        <v>642</v>
      </c>
      <c r="B97" s="32" t="s">
        <v>643</v>
      </c>
      <c r="C97" s="32" t="s">
        <v>144</v>
      </c>
      <c r="D97" s="32" t="s">
        <v>644</v>
      </c>
      <c r="E97" s="32" t="s">
        <v>645</v>
      </c>
      <c r="F97" s="42">
        <v>2023</v>
      </c>
      <c r="G97" s="84" t="s">
        <v>1145</v>
      </c>
      <c r="H97" s="33" t="s">
        <v>126</v>
      </c>
      <c r="I97" s="33" t="s">
        <v>646</v>
      </c>
      <c r="J97" s="25">
        <v>1</v>
      </c>
      <c r="K97" s="25">
        <v>0</v>
      </c>
      <c r="L97" s="25">
        <v>0</v>
      </c>
      <c r="M97" s="25">
        <v>1</v>
      </c>
      <c r="N97" s="25">
        <v>1</v>
      </c>
      <c r="O97" s="25">
        <v>0</v>
      </c>
      <c r="P97" s="25">
        <v>0</v>
      </c>
      <c r="Q97" s="82" t="s">
        <v>59</v>
      </c>
      <c r="R97" s="25" t="s">
        <v>59</v>
      </c>
      <c r="S97" s="25" t="s">
        <v>59</v>
      </c>
      <c r="T97" s="25">
        <v>0</v>
      </c>
      <c r="U97" s="25">
        <v>0</v>
      </c>
      <c r="V97" s="25">
        <v>0</v>
      </c>
      <c r="W97" s="25">
        <v>0</v>
      </c>
      <c r="X97" s="25">
        <v>0</v>
      </c>
      <c r="Y97" s="25">
        <v>0</v>
      </c>
      <c r="Z97" s="25">
        <v>1</v>
      </c>
      <c r="AA97" s="25">
        <v>0</v>
      </c>
      <c r="AB97" s="25">
        <v>0</v>
      </c>
      <c r="AC97" s="25">
        <v>0</v>
      </c>
      <c r="AD97" s="25">
        <v>0</v>
      </c>
      <c r="AE97" s="25">
        <v>0</v>
      </c>
      <c r="AF97" s="25">
        <v>0</v>
      </c>
      <c r="AG97" s="25">
        <v>1</v>
      </c>
      <c r="AH97" s="25">
        <v>1</v>
      </c>
      <c r="AI97" s="25">
        <v>0</v>
      </c>
      <c r="AJ97" s="25">
        <v>0</v>
      </c>
      <c r="AK97" s="9">
        <v>1</v>
      </c>
      <c r="AL97" s="25">
        <v>0</v>
      </c>
      <c r="AM97" s="25">
        <v>1</v>
      </c>
      <c r="AN97" s="25">
        <v>0</v>
      </c>
      <c r="AO97" s="9" t="s">
        <v>59</v>
      </c>
      <c r="AP97" s="9" t="s">
        <v>59</v>
      </c>
      <c r="AQ97" s="9" t="s">
        <v>59</v>
      </c>
      <c r="AR97" s="25"/>
      <c r="AS97" s="25"/>
      <c r="AT97" s="25" t="s">
        <v>279</v>
      </c>
    </row>
    <row r="98" spans="1:155" s="9" customFormat="1" ht="13.75" customHeight="1">
      <c r="A98" s="31" t="s">
        <v>647</v>
      </c>
      <c r="B98" s="32" t="s">
        <v>648</v>
      </c>
      <c r="C98" s="32" t="s">
        <v>265</v>
      </c>
      <c r="D98" s="32" t="s">
        <v>649</v>
      </c>
      <c r="E98" s="32" t="s">
        <v>650</v>
      </c>
      <c r="F98" s="42">
        <v>2023</v>
      </c>
      <c r="G98" s="84" t="s">
        <v>1146</v>
      </c>
      <c r="H98" s="33" t="s">
        <v>105</v>
      </c>
      <c r="I98" s="33" t="s">
        <v>651</v>
      </c>
      <c r="J98" s="25">
        <v>1</v>
      </c>
      <c r="K98" s="25">
        <v>0</v>
      </c>
      <c r="L98" s="25">
        <v>1</v>
      </c>
      <c r="M98" s="25">
        <v>0</v>
      </c>
      <c r="N98" s="25">
        <v>1</v>
      </c>
      <c r="O98" s="25">
        <v>0</v>
      </c>
      <c r="P98" s="25">
        <v>0</v>
      </c>
      <c r="Q98" s="82" t="s">
        <v>59</v>
      </c>
      <c r="R98" s="25" t="s">
        <v>59</v>
      </c>
      <c r="S98" s="25" t="s">
        <v>59</v>
      </c>
      <c r="T98" s="25">
        <v>0</v>
      </c>
      <c r="U98" s="25">
        <v>0</v>
      </c>
      <c r="V98" s="25">
        <v>0</v>
      </c>
      <c r="W98" s="25">
        <v>0</v>
      </c>
      <c r="X98" s="25">
        <v>0</v>
      </c>
      <c r="Y98" s="25">
        <v>0</v>
      </c>
      <c r="Z98" s="25">
        <v>0</v>
      </c>
      <c r="AA98" s="25">
        <v>0</v>
      </c>
      <c r="AB98" s="25">
        <v>1</v>
      </c>
      <c r="AC98" s="25">
        <v>0</v>
      </c>
      <c r="AD98" s="25">
        <v>0</v>
      </c>
      <c r="AE98" s="25">
        <v>0</v>
      </c>
      <c r="AF98" s="25" t="s">
        <v>59</v>
      </c>
      <c r="AG98" s="25" t="s">
        <v>59</v>
      </c>
      <c r="AH98" s="25" t="s">
        <v>59</v>
      </c>
      <c r="AI98" s="25" t="s">
        <v>59</v>
      </c>
      <c r="AJ98" s="25">
        <v>0</v>
      </c>
      <c r="AK98" s="9">
        <v>1</v>
      </c>
      <c r="AL98" s="25">
        <v>0</v>
      </c>
      <c r="AM98" s="25">
        <v>1</v>
      </c>
      <c r="AN98" s="25">
        <v>0</v>
      </c>
      <c r="AO98" s="9" t="s">
        <v>59</v>
      </c>
      <c r="AP98" s="9" t="s">
        <v>59</v>
      </c>
      <c r="AQ98" s="9" t="s">
        <v>59</v>
      </c>
      <c r="AR98" s="25"/>
      <c r="AS98" s="25"/>
      <c r="AT98" s="25" t="s">
        <v>279</v>
      </c>
    </row>
    <row r="99" spans="1:155" s="9" customFormat="1" ht="13.75" customHeight="1">
      <c r="A99" s="28" t="s">
        <v>652</v>
      </c>
      <c r="B99" s="29" t="s">
        <v>653</v>
      </c>
      <c r="C99" s="29" t="s">
        <v>196</v>
      </c>
      <c r="D99" s="29" t="s">
        <v>279</v>
      </c>
      <c r="E99" s="29" t="s">
        <v>654</v>
      </c>
      <c r="F99" s="42">
        <v>2023</v>
      </c>
      <c r="G99" s="81" t="s">
        <v>1147</v>
      </c>
      <c r="H99" s="30" t="s">
        <v>124</v>
      </c>
      <c r="I99" s="30" t="s">
        <v>655</v>
      </c>
      <c r="J99" s="25">
        <v>1</v>
      </c>
      <c r="K99" s="25">
        <v>0</v>
      </c>
      <c r="L99" s="25">
        <v>0</v>
      </c>
      <c r="M99" s="25">
        <v>1</v>
      </c>
      <c r="N99" s="25">
        <v>1</v>
      </c>
      <c r="O99" s="25">
        <v>0</v>
      </c>
      <c r="P99" s="25">
        <v>0</v>
      </c>
      <c r="Q99" s="82">
        <v>0</v>
      </c>
      <c r="R99" s="25">
        <v>1</v>
      </c>
      <c r="S99" s="25">
        <v>1</v>
      </c>
      <c r="T99" s="25">
        <v>0</v>
      </c>
      <c r="U99" s="25">
        <v>0</v>
      </c>
      <c r="V99" s="25">
        <v>0</v>
      </c>
      <c r="W99" s="25">
        <v>0</v>
      </c>
      <c r="X99" s="25">
        <v>0</v>
      </c>
      <c r="Y99" s="25">
        <v>0</v>
      </c>
      <c r="Z99" s="25">
        <v>0</v>
      </c>
      <c r="AA99" s="25">
        <v>0</v>
      </c>
      <c r="AB99" s="25">
        <v>1</v>
      </c>
      <c r="AC99" s="25">
        <v>0</v>
      </c>
      <c r="AD99" s="25">
        <v>0</v>
      </c>
      <c r="AE99" s="25">
        <v>0</v>
      </c>
      <c r="AF99" s="25">
        <v>1</v>
      </c>
      <c r="AG99" s="25">
        <v>1</v>
      </c>
      <c r="AH99" s="25">
        <v>1</v>
      </c>
      <c r="AI99" s="25">
        <v>0</v>
      </c>
      <c r="AJ99" s="25">
        <v>0</v>
      </c>
      <c r="AK99" s="9">
        <v>1</v>
      </c>
      <c r="AL99" s="25">
        <v>0</v>
      </c>
      <c r="AM99" s="25">
        <v>1</v>
      </c>
      <c r="AN99" s="25">
        <v>0</v>
      </c>
      <c r="AO99" s="9" t="s">
        <v>59</v>
      </c>
      <c r="AP99" s="9" t="s">
        <v>59</v>
      </c>
      <c r="AQ99" s="9" t="s">
        <v>59</v>
      </c>
      <c r="AR99" s="25"/>
      <c r="AS99" s="25"/>
      <c r="AT99" s="25" t="s">
        <v>279</v>
      </c>
    </row>
    <row r="100" spans="1:155" s="9" customFormat="1" ht="13.75" customHeight="1">
      <c r="A100" s="31" t="s">
        <v>656</v>
      </c>
      <c r="B100" s="32" t="s">
        <v>657</v>
      </c>
      <c r="C100" s="32" t="s">
        <v>658</v>
      </c>
      <c r="D100" s="32" t="s">
        <v>659</v>
      </c>
      <c r="E100" s="32" t="s">
        <v>660</v>
      </c>
      <c r="F100" s="42">
        <v>2023</v>
      </c>
      <c r="G100" s="84" t="s">
        <v>1148</v>
      </c>
      <c r="H100" s="33" t="s">
        <v>402</v>
      </c>
      <c r="I100" s="33" t="s">
        <v>661</v>
      </c>
      <c r="J100" s="25">
        <v>1</v>
      </c>
      <c r="K100" s="25">
        <v>0</v>
      </c>
      <c r="L100" s="25">
        <v>0</v>
      </c>
      <c r="M100" s="25">
        <v>1</v>
      </c>
      <c r="N100" s="25" t="s">
        <v>59</v>
      </c>
      <c r="O100" s="25" t="s">
        <v>59</v>
      </c>
      <c r="P100" s="25" t="s">
        <v>59</v>
      </c>
      <c r="Q100" s="82" t="s">
        <v>59</v>
      </c>
      <c r="R100" s="25" t="s">
        <v>59</v>
      </c>
      <c r="S100" s="25" t="s">
        <v>59</v>
      </c>
      <c r="T100" s="25">
        <v>0</v>
      </c>
      <c r="U100" s="25">
        <v>0</v>
      </c>
      <c r="V100" s="25">
        <v>0</v>
      </c>
      <c r="W100" s="25">
        <v>0</v>
      </c>
      <c r="X100" s="25">
        <v>0</v>
      </c>
      <c r="Y100" s="25">
        <v>0</v>
      </c>
      <c r="Z100" s="25">
        <v>0</v>
      </c>
      <c r="AA100" s="25">
        <v>0</v>
      </c>
      <c r="AB100" s="25">
        <v>0</v>
      </c>
      <c r="AC100" s="25">
        <v>0</v>
      </c>
      <c r="AD100" s="25">
        <v>0</v>
      </c>
      <c r="AE100" s="25">
        <v>1</v>
      </c>
      <c r="AF100" s="25">
        <v>1</v>
      </c>
      <c r="AG100" s="25">
        <v>1</v>
      </c>
      <c r="AH100" s="25">
        <v>1</v>
      </c>
      <c r="AI100" s="25">
        <v>0</v>
      </c>
      <c r="AJ100" s="25">
        <v>0</v>
      </c>
      <c r="AK100" s="9">
        <v>1</v>
      </c>
      <c r="AL100" s="25">
        <v>0</v>
      </c>
      <c r="AM100" s="25">
        <v>1</v>
      </c>
      <c r="AN100" s="25">
        <v>0</v>
      </c>
      <c r="AO100" s="9" t="s">
        <v>59</v>
      </c>
      <c r="AP100" s="9" t="s">
        <v>59</v>
      </c>
      <c r="AQ100" s="9" t="s">
        <v>59</v>
      </c>
      <c r="AR100" s="25"/>
      <c r="AS100" s="25"/>
      <c r="AT100" s="25" t="s">
        <v>279</v>
      </c>
    </row>
    <row r="101" spans="1:155" s="9" customFormat="1" ht="13.75" customHeight="1">
      <c r="A101" s="28" t="s">
        <v>662</v>
      </c>
      <c r="B101" s="29" t="s">
        <v>663</v>
      </c>
      <c r="C101" s="29" t="s">
        <v>664</v>
      </c>
      <c r="D101" s="29" t="s">
        <v>279</v>
      </c>
      <c r="E101" s="29" t="s">
        <v>665</v>
      </c>
      <c r="F101" s="42">
        <v>2023</v>
      </c>
      <c r="G101" s="81" t="s">
        <v>1149</v>
      </c>
      <c r="H101" s="30" t="s">
        <v>666</v>
      </c>
      <c r="I101" s="30" t="s">
        <v>667</v>
      </c>
      <c r="J101" s="25">
        <v>1</v>
      </c>
      <c r="K101" s="25">
        <v>0</v>
      </c>
      <c r="L101" s="25">
        <v>0</v>
      </c>
      <c r="M101" s="25">
        <v>1</v>
      </c>
      <c r="N101" s="25" t="s">
        <v>59</v>
      </c>
      <c r="O101" s="25" t="s">
        <v>59</v>
      </c>
      <c r="P101" s="25" t="s">
        <v>59</v>
      </c>
      <c r="Q101" s="82" t="s">
        <v>59</v>
      </c>
      <c r="R101" s="25" t="s">
        <v>59</v>
      </c>
      <c r="S101" s="25" t="s">
        <v>59</v>
      </c>
      <c r="T101" s="25">
        <v>0</v>
      </c>
      <c r="U101" s="25">
        <v>0</v>
      </c>
      <c r="V101" s="25">
        <v>0</v>
      </c>
      <c r="W101" s="25">
        <v>0</v>
      </c>
      <c r="X101" s="25">
        <v>0</v>
      </c>
      <c r="Y101" s="25">
        <v>0</v>
      </c>
      <c r="Z101" s="25">
        <v>0</v>
      </c>
      <c r="AA101" s="25">
        <v>0</v>
      </c>
      <c r="AB101" s="25">
        <v>0</v>
      </c>
      <c r="AC101" s="25">
        <v>0</v>
      </c>
      <c r="AD101" s="25">
        <v>0</v>
      </c>
      <c r="AE101" s="25">
        <v>1</v>
      </c>
      <c r="AF101" s="25">
        <v>0</v>
      </c>
      <c r="AG101" s="25">
        <v>1</v>
      </c>
      <c r="AH101" s="25">
        <v>1</v>
      </c>
      <c r="AI101" s="25">
        <v>0</v>
      </c>
      <c r="AJ101" s="25">
        <v>0</v>
      </c>
      <c r="AK101" s="9">
        <v>1</v>
      </c>
      <c r="AL101" s="25">
        <v>0</v>
      </c>
      <c r="AM101" s="25">
        <v>1</v>
      </c>
      <c r="AN101" s="25">
        <v>0</v>
      </c>
      <c r="AO101" s="9" t="s">
        <v>59</v>
      </c>
      <c r="AP101" s="9" t="s">
        <v>59</v>
      </c>
      <c r="AQ101" s="9" t="s">
        <v>59</v>
      </c>
      <c r="AR101" s="25"/>
      <c r="AS101" s="25"/>
      <c r="AT101" s="25" t="s">
        <v>279</v>
      </c>
    </row>
    <row r="102" spans="1:155" s="9" customFormat="1" ht="13.75" customHeight="1">
      <c r="A102" s="28" t="s">
        <v>668</v>
      </c>
      <c r="B102" s="29" t="s">
        <v>669</v>
      </c>
      <c r="C102" s="29" t="s">
        <v>670</v>
      </c>
      <c r="D102" s="29" t="s">
        <v>671</v>
      </c>
      <c r="E102" s="29" t="s">
        <v>672</v>
      </c>
      <c r="F102" s="42">
        <v>2023</v>
      </c>
      <c r="G102" s="81" t="s">
        <v>1150</v>
      </c>
      <c r="H102" s="30" t="s">
        <v>75</v>
      </c>
      <c r="I102" s="30" t="s">
        <v>673</v>
      </c>
      <c r="J102" s="25">
        <v>1</v>
      </c>
      <c r="K102" s="25">
        <v>0</v>
      </c>
      <c r="L102" s="25">
        <v>0</v>
      </c>
      <c r="M102" s="25">
        <v>1</v>
      </c>
      <c r="N102" s="25">
        <v>1</v>
      </c>
      <c r="O102" s="25">
        <v>0</v>
      </c>
      <c r="P102" s="25">
        <v>0</v>
      </c>
      <c r="Q102" s="82" t="s">
        <v>59</v>
      </c>
      <c r="R102" s="25" t="s">
        <v>59</v>
      </c>
      <c r="S102" s="25" t="s">
        <v>59</v>
      </c>
      <c r="T102" s="25">
        <v>0</v>
      </c>
      <c r="U102" s="25">
        <v>0</v>
      </c>
      <c r="V102" s="25">
        <v>0</v>
      </c>
      <c r="W102" s="25">
        <v>0</v>
      </c>
      <c r="X102" s="25">
        <v>0</v>
      </c>
      <c r="Y102" s="25">
        <v>0</v>
      </c>
      <c r="Z102" s="25">
        <v>0</v>
      </c>
      <c r="AA102" s="25">
        <v>0</v>
      </c>
      <c r="AB102" s="25">
        <v>1</v>
      </c>
      <c r="AC102" s="25">
        <v>0</v>
      </c>
      <c r="AD102" s="25">
        <v>0</v>
      </c>
      <c r="AE102" s="25">
        <v>0</v>
      </c>
      <c r="AF102" s="25">
        <v>0</v>
      </c>
      <c r="AG102" s="25">
        <v>1</v>
      </c>
      <c r="AH102" s="25">
        <v>1</v>
      </c>
      <c r="AI102" s="25">
        <v>0</v>
      </c>
      <c r="AJ102" s="25">
        <v>0</v>
      </c>
      <c r="AK102" s="9">
        <v>1</v>
      </c>
      <c r="AL102" s="25">
        <v>0</v>
      </c>
      <c r="AM102" s="25">
        <v>1</v>
      </c>
      <c r="AN102" s="25">
        <v>0</v>
      </c>
      <c r="AO102" s="9" t="s">
        <v>59</v>
      </c>
      <c r="AP102" s="9" t="s">
        <v>59</v>
      </c>
      <c r="AQ102" s="9" t="s">
        <v>59</v>
      </c>
      <c r="AR102" s="25"/>
      <c r="AS102" s="25"/>
      <c r="AT102" s="25" t="s">
        <v>279</v>
      </c>
    </row>
    <row r="103" spans="1:155" s="9" customFormat="1" ht="13.75" customHeight="1">
      <c r="A103" s="42" t="s">
        <v>674</v>
      </c>
      <c r="B103" s="42" t="s">
        <v>675</v>
      </c>
      <c r="C103" s="42" t="s">
        <v>676</v>
      </c>
      <c r="D103" s="42" t="s">
        <v>677</v>
      </c>
      <c r="E103" s="42"/>
      <c r="F103" s="42">
        <v>2023</v>
      </c>
      <c r="G103" s="83" t="s">
        <v>1151</v>
      </c>
      <c r="H103" s="43" t="s">
        <v>678</v>
      </c>
      <c r="I103" s="43" t="s">
        <v>679</v>
      </c>
      <c r="J103" s="44">
        <v>1</v>
      </c>
      <c r="K103" s="44">
        <v>0</v>
      </c>
      <c r="L103" s="44">
        <v>0</v>
      </c>
      <c r="M103" s="44">
        <v>1</v>
      </c>
      <c r="N103" s="44" t="s">
        <v>59</v>
      </c>
      <c r="O103" s="44" t="s">
        <v>59</v>
      </c>
      <c r="P103" s="44" t="s">
        <v>59</v>
      </c>
      <c r="Q103" s="44" t="s">
        <v>59</v>
      </c>
      <c r="R103" s="44" t="s">
        <v>59</v>
      </c>
      <c r="S103" s="44" t="s">
        <v>59</v>
      </c>
      <c r="T103" s="44">
        <v>0</v>
      </c>
      <c r="U103" s="44">
        <v>1</v>
      </c>
      <c r="V103" s="44">
        <v>1</v>
      </c>
      <c r="W103" s="44">
        <v>0</v>
      </c>
      <c r="X103" s="44">
        <v>0</v>
      </c>
      <c r="Y103" s="44">
        <v>0</v>
      </c>
      <c r="Z103" s="44">
        <v>0</v>
      </c>
      <c r="AA103" s="44">
        <v>1</v>
      </c>
      <c r="AB103" s="44">
        <v>1</v>
      </c>
      <c r="AC103" s="44">
        <v>0</v>
      </c>
      <c r="AD103" s="44">
        <v>0</v>
      </c>
      <c r="AE103" s="44">
        <v>0</v>
      </c>
      <c r="AF103" s="44">
        <v>0</v>
      </c>
      <c r="AG103" s="44">
        <v>1</v>
      </c>
      <c r="AH103" s="44">
        <v>1</v>
      </c>
      <c r="AI103" s="44">
        <v>0</v>
      </c>
      <c r="AJ103" s="44">
        <v>1</v>
      </c>
      <c r="AK103" s="44">
        <v>0</v>
      </c>
      <c r="AL103" s="44">
        <v>1</v>
      </c>
      <c r="AM103" s="44">
        <v>1</v>
      </c>
      <c r="AN103" s="44">
        <v>0</v>
      </c>
      <c r="AO103" s="44">
        <v>0</v>
      </c>
      <c r="AP103" s="44">
        <v>0</v>
      </c>
      <c r="AQ103" s="44">
        <v>1</v>
      </c>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row>
    <row r="104" spans="1:155" s="9" customFormat="1" ht="13.75" customHeight="1">
      <c r="A104" s="28" t="s">
        <v>680</v>
      </c>
      <c r="B104" s="29" t="s">
        <v>681</v>
      </c>
      <c r="C104" s="29" t="s">
        <v>373</v>
      </c>
      <c r="D104" s="29" t="s">
        <v>279</v>
      </c>
      <c r="E104" s="29" t="s">
        <v>682</v>
      </c>
      <c r="F104" s="42">
        <v>2023</v>
      </c>
      <c r="G104" s="81" t="s">
        <v>1152</v>
      </c>
      <c r="H104" s="30" t="s">
        <v>124</v>
      </c>
      <c r="I104" s="30" t="s">
        <v>683</v>
      </c>
      <c r="J104" s="25">
        <v>1</v>
      </c>
      <c r="K104" s="25">
        <v>0</v>
      </c>
      <c r="L104" s="25">
        <v>0</v>
      </c>
      <c r="M104" s="25">
        <v>1</v>
      </c>
      <c r="N104" s="25">
        <v>0</v>
      </c>
      <c r="O104" s="25">
        <v>0</v>
      </c>
      <c r="P104" s="25">
        <v>0</v>
      </c>
      <c r="Q104" s="82" t="s">
        <v>59</v>
      </c>
      <c r="R104" s="25" t="s">
        <v>59</v>
      </c>
      <c r="S104" s="25" t="s">
        <v>59</v>
      </c>
      <c r="T104" s="25">
        <v>0</v>
      </c>
      <c r="U104" s="25">
        <v>0</v>
      </c>
      <c r="V104" s="25">
        <v>0</v>
      </c>
      <c r="W104" s="25">
        <v>1</v>
      </c>
      <c r="X104" s="25">
        <v>0</v>
      </c>
      <c r="Y104" s="25">
        <v>0</v>
      </c>
      <c r="Z104" s="25">
        <v>0</v>
      </c>
      <c r="AA104" s="25">
        <v>0</v>
      </c>
      <c r="AB104" s="25">
        <v>0</v>
      </c>
      <c r="AC104" s="25">
        <v>0</v>
      </c>
      <c r="AD104" s="25">
        <v>0</v>
      </c>
      <c r="AE104" s="25">
        <v>0</v>
      </c>
      <c r="AF104" s="25">
        <v>0</v>
      </c>
      <c r="AG104" s="25">
        <v>0</v>
      </c>
      <c r="AH104" s="25">
        <v>0</v>
      </c>
      <c r="AI104" s="25">
        <v>0</v>
      </c>
      <c r="AJ104" s="25">
        <v>0</v>
      </c>
      <c r="AK104" s="9">
        <v>1</v>
      </c>
      <c r="AL104" s="25">
        <v>0</v>
      </c>
      <c r="AM104" s="25">
        <v>1</v>
      </c>
      <c r="AN104" s="25">
        <v>0</v>
      </c>
      <c r="AO104" s="9" t="s">
        <v>59</v>
      </c>
      <c r="AP104" s="9" t="s">
        <v>59</v>
      </c>
      <c r="AQ104" s="9" t="s">
        <v>59</v>
      </c>
      <c r="AR104" s="25"/>
      <c r="AS104" s="25"/>
      <c r="AT104" s="25" t="s">
        <v>279</v>
      </c>
    </row>
    <row r="105" spans="1:155" s="9" customFormat="1" ht="13.75" customHeight="1">
      <c r="A105" s="28" t="s">
        <v>684</v>
      </c>
      <c r="B105" s="29" t="s">
        <v>685</v>
      </c>
      <c r="C105" s="29" t="s">
        <v>373</v>
      </c>
      <c r="D105" s="29" t="s">
        <v>279</v>
      </c>
      <c r="E105" s="29" t="s">
        <v>686</v>
      </c>
      <c r="F105" s="42">
        <v>2023</v>
      </c>
      <c r="G105" s="81" t="s">
        <v>1153</v>
      </c>
      <c r="H105" s="30" t="s">
        <v>124</v>
      </c>
      <c r="I105" s="30" t="s">
        <v>687</v>
      </c>
      <c r="J105" s="25">
        <v>1</v>
      </c>
      <c r="K105" s="25">
        <v>0</v>
      </c>
      <c r="L105" s="25">
        <v>0</v>
      </c>
      <c r="M105" s="25">
        <v>1</v>
      </c>
      <c r="N105" s="25">
        <v>1</v>
      </c>
      <c r="O105" s="25">
        <v>0</v>
      </c>
      <c r="P105" s="25">
        <v>0</v>
      </c>
      <c r="Q105" s="82">
        <v>1</v>
      </c>
      <c r="R105" s="25">
        <v>0</v>
      </c>
      <c r="S105" s="25">
        <v>1</v>
      </c>
      <c r="T105" s="25">
        <v>0</v>
      </c>
      <c r="U105" s="25">
        <v>0</v>
      </c>
      <c r="V105" s="25">
        <v>0</v>
      </c>
      <c r="W105" s="25">
        <v>0</v>
      </c>
      <c r="X105" s="25">
        <v>0</v>
      </c>
      <c r="Y105" s="25">
        <v>0</v>
      </c>
      <c r="Z105" s="25">
        <v>0</v>
      </c>
      <c r="AA105" s="25">
        <v>0</v>
      </c>
      <c r="AB105" s="25">
        <v>0</v>
      </c>
      <c r="AC105" s="25">
        <v>0</v>
      </c>
      <c r="AD105" s="25">
        <v>0</v>
      </c>
      <c r="AE105" s="25">
        <v>1</v>
      </c>
      <c r="AF105" s="25" t="s">
        <v>59</v>
      </c>
      <c r="AG105" s="25" t="s">
        <v>59</v>
      </c>
      <c r="AH105" s="25" t="s">
        <v>59</v>
      </c>
      <c r="AI105" s="25" t="s">
        <v>59</v>
      </c>
      <c r="AJ105" s="25">
        <v>0</v>
      </c>
      <c r="AK105" s="9">
        <v>1</v>
      </c>
      <c r="AL105" s="25">
        <v>0</v>
      </c>
      <c r="AM105" s="25">
        <v>1</v>
      </c>
      <c r="AN105" s="25">
        <v>0</v>
      </c>
      <c r="AO105" s="9" t="s">
        <v>59</v>
      </c>
      <c r="AP105" s="9" t="s">
        <v>59</v>
      </c>
      <c r="AQ105" s="9" t="s">
        <v>59</v>
      </c>
      <c r="AR105" s="25"/>
      <c r="AS105" s="25"/>
      <c r="AT105" s="25" t="s">
        <v>279</v>
      </c>
    </row>
    <row r="106" spans="1:155" s="9" customFormat="1" ht="13.75" customHeight="1">
      <c r="A106" s="28" t="s">
        <v>688</v>
      </c>
      <c r="B106" s="29" t="s">
        <v>689</v>
      </c>
      <c r="C106" s="29" t="s">
        <v>301</v>
      </c>
      <c r="D106" s="29" t="s">
        <v>690</v>
      </c>
      <c r="E106" s="29" t="s">
        <v>691</v>
      </c>
      <c r="F106" s="42">
        <v>2023</v>
      </c>
      <c r="G106" s="81" t="s">
        <v>1154</v>
      </c>
      <c r="H106" s="30" t="s">
        <v>305</v>
      </c>
      <c r="I106" s="30" t="s">
        <v>692</v>
      </c>
      <c r="J106" s="25">
        <v>1</v>
      </c>
      <c r="K106" s="25">
        <v>0</v>
      </c>
      <c r="L106" s="25">
        <v>0</v>
      </c>
      <c r="M106" s="25">
        <v>1</v>
      </c>
      <c r="N106" s="25">
        <v>1</v>
      </c>
      <c r="O106" s="25">
        <v>0</v>
      </c>
      <c r="P106" s="25">
        <v>1</v>
      </c>
      <c r="Q106" s="82">
        <v>1</v>
      </c>
      <c r="R106" s="25">
        <v>1</v>
      </c>
      <c r="S106" s="25">
        <v>1</v>
      </c>
      <c r="T106" s="25">
        <v>0</v>
      </c>
      <c r="U106" s="25">
        <v>0</v>
      </c>
      <c r="V106" s="25">
        <v>0</v>
      </c>
      <c r="W106" s="25">
        <v>0</v>
      </c>
      <c r="X106" s="25">
        <v>0</v>
      </c>
      <c r="Y106" s="25">
        <v>0</v>
      </c>
      <c r="Z106" s="25">
        <v>0</v>
      </c>
      <c r="AA106" s="25">
        <v>0</v>
      </c>
      <c r="AB106" s="25">
        <v>1</v>
      </c>
      <c r="AC106" s="25">
        <v>0</v>
      </c>
      <c r="AD106" s="25">
        <v>0</v>
      </c>
      <c r="AE106" s="25">
        <v>0</v>
      </c>
      <c r="AF106" s="25">
        <v>0</v>
      </c>
      <c r="AG106" s="25">
        <v>1</v>
      </c>
      <c r="AH106" s="25">
        <v>1</v>
      </c>
      <c r="AI106" s="25">
        <v>0</v>
      </c>
      <c r="AJ106" s="25">
        <v>0</v>
      </c>
      <c r="AK106" s="9">
        <v>1</v>
      </c>
      <c r="AL106" s="25">
        <v>0</v>
      </c>
      <c r="AM106" s="25">
        <v>1</v>
      </c>
      <c r="AN106" s="25">
        <v>0</v>
      </c>
      <c r="AO106" s="9" t="s">
        <v>59</v>
      </c>
      <c r="AP106" s="9" t="s">
        <v>59</v>
      </c>
      <c r="AQ106" s="9" t="s">
        <v>59</v>
      </c>
      <c r="AR106" s="25"/>
      <c r="AS106" s="25"/>
      <c r="AT106" s="25" t="s">
        <v>279</v>
      </c>
    </row>
    <row r="107" spans="1:155" s="9" customFormat="1" ht="13.75" customHeight="1">
      <c r="A107" s="42" t="s">
        <v>693</v>
      </c>
      <c r="B107" s="42" t="s">
        <v>694</v>
      </c>
      <c r="C107" s="42" t="s">
        <v>695</v>
      </c>
      <c r="D107" s="42" t="s">
        <v>696</v>
      </c>
      <c r="E107" s="42" t="s">
        <v>697</v>
      </c>
      <c r="F107" s="42">
        <v>2023</v>
      </c>
      <c r="G107" s="83" t="s">
        <v>1155</v>
      </c>
      <c r="H107" s="43" t="s">
        <v>698</v>
      </c>
      <c r="I107" s="43" t="s">
        <v>699</v>
      </c>
      <c r="J107" s="44">
        <v>1</v>
      </c>
      <c r="K107" s="44">
        <v>0</v>
      </c>
      <c r="L107" s="44">
        <v>0</v>
      </c>
      <c r="M107" s="44">
        <v>1</v>
      </c>
      <c r="N107" s="44" t="s">
        <v>59</v>
      </c>
      <c r="O107" s="44" t="s">
        <v>59</v>
      </c>
      <c r="P107" s="44" t="s">
        <v>59</v>
      </c>
      <c r="Q107" s="44" t="s">
        <v>59</v>
      </c>
      <c r="R107" s="44" t="s">
        <v>59</v>
      </c>
      <c r="S107" s="44" t="s">
        <v>59</v>
      </c>
      <c r="T107" s="44">
        <v>0</v>
      </c>
      <c r="U107" s="44">
        <v>0</v>
      </c>
      <c r="V107" s="44">
        <v>0</v>
      </c>
      <c r="W107" s="44">
        <v>0</v>
      </c>
      <c r="X107" s="44">
        <v>0</v>
      </c>
      <c r="Y107" s="44">
        <v>0</v>
      </c>
      <c r="Z107" s="44">
        <v>1</v>
      </c>
      <c r="AA107" s="44">
        <v>0</v>
      </c>
      <c r="AB107" s="44">
        <v>0</v>
      </c>
      <c r="AC107" s="44">
        <v>0</v>
      </c>
      <c r="AD107" s="44">
        <v>0</v>
      </c>
      <c r="AE107" s="44">
        <v>0</v>
      </c>
      <c r="AF107" s="44">
        <v>0</v>
      </c>
      <c r="AG107" s="44">
        <v>1</v>
      </c>
      <c r="AH107" s="44">
        <v>1</v>
      </c>
      <c r="AI107" s="44">
        <v>0</v>
      </c>
      <c r="AJ107" s="44">
        <v>1</v>
      </c>
      <c r="AK107" s="44">
        <v>0</v>
      </c>
      <c r="AL107" s="44">
        <v>1</v>
      </c>
      <c r="AM107" s="44">
        <v>1</v>
      </c>
      <c r="AN107" s="44">
        <v>0</v>
      </c>
      <c r="AO107" s="44"/>
      <c r="AP107" s="44"/>
      <c r="AQ107" s="44"/>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row>
    <row r="108" spans="1:155" s="9" customFormat="1" ht="13.75" customHeight="1">
      <c r="A108" s="28" t="s">
        <v>700</v>
      </c>
      <c r="B108" s="29" t="s">
        <v>701</v>
      </c>
      <c r="C108" s="29" t="s">
        <v>436</v>
      </c>
      <c r="D108" s="29" t="s">
        <v>702</v>
      </c>
      <c r="E108" s="29" t="s">
        <v>703</v>
      </c>
      <c r="F108" s="42">
        <v>2023</v>
      </c>
      <c r="G108" s="81" t="s">
        <v>1156</v>
      </c>
      <c r="H108" s="30" t="s">
        <v>124</v>
      </c>
      <c r="I108" s="30" t="s">
        <v>704</v>
      </c>
      <c r="J108" s="25">
        <v>1</v>
      </c>
      <c r="K108" s="25">
        <v>0</v>
      </c>
      <c r="L108" s="25">
        <v>0</v>
      </c>
      <c r="M108" s="25">
        <v>1</v>
      </c>
      <c r="N108" s="25">
        <v>1</v>
      </c>
      <c r="O108" s="25">
        <v>0</v>
      </c>
      <c r="P108" s="25">
        <v>0</v>
      </c>
      <c r="Q108" s="82" t="s">
        <v>59</v>
      </c>
      <c r="R108" s="25" t="s">
        <v>59</v>
      </c>
      <c r="S108" s="25" t="s">
        <v>59</v>
      </c>
      <c r="T108" s="25">
        <v>0</v>
      </c>
      <c r="U108" s="25">
        <v>0</v>
      </c>
      <c r="V108" s="25">
        <v>0</v>
      </c>
      <c r="W108" s="25">
        <v>0</v>
      </c>
      <c r="X108" s="25">
        <v>0</v>
      </c>
      <c r="Y108" s="25">
        <v>0</v>
      </c>
      <c r="Z108" s="25">
        <v>0</v>
      </c>
      <c r="AA108" s="25">
        <v>0</v>
      </c>
      <c r="AB108" s="25">
        <v>1</v>
      </c>
      <c r="AC108" s="25">
        <v>0</v>
      </c>
      <c r="AD108" s="25">
        <v>0</v>
      </c>
      <c r="AE108" s="25">
        <v>0</v>
      </c>
      <c r="AF108" s="25">
        <v>0</v>
      </c>
      <c r="AG108" s="25">
        <v>1</v>
      </c>
      <c r="AH108" s="25">
        <v>1</v>
      </c>
      <c r="AI108" s="25">
        <v>0</v>
      </c>
      <c r="AJ108" s="25">
        <v>0</v>
      </c>
      <c r="AK108" s="9">
        <v>1</v>
      </c>
      <c r="AL108" s="25">
        <v>0</v>
      </c>
      <c r="AM108" s="25">
        <v>1</v>
      </c>
      <c r="AN108" s="25">
        <v>0</v>
      </c>
      <c r="AO108" s="9" t="s">
        <v>59</v>
      </c>
      <c r="AP108" s="9" t="s">
        <v>59</v>
      </c>
      <c r="AQ108" s="9" t="s">
        <v>59</v>
      </c>
      <c r="AR108" s="25"/>
      <c r="AS108" s="25"/>
      <c r="AT108" s="25" t="s">
        <v>279</v>
      </c>
    </row>
    <row r="109" spans="1:155" s="9" customFormat="1" ht="13.75" customHeight="1">
      <c r="A109" s="31" t="s">
        <v>705</v>
      </c>
      <c r="B109" s="32" t="s">
        <v>706</v>
      </c>
      <c r="C109" s="32" t="s">
        <v>464</v>
      </c>
      <c r="D109" s="32" t="s">
        <v>707</v>
      </c>
      <c r="E109" s="32" t="s">
        <v>708</v>
      </c>
      <c r="F109" s="42">
        <v>2023</v>
      </c>
      <c r="G109" s="84" t="s">
        <v>1157</v>
      </c>
      <c r="H109" s="33" t="s">
        <v>105</v>
      </c>
      <c r="I109" s="33" t="s">
        <v>709</v>
      </c>
      <c r="J109" s="25">
        <v>1</v>
      </c>
      <c r="K109" s="25">
        <v>0</v>
      </c>
      <c r="L109" s="25">
        <v>0</v>
      </c>
      <c r="M109" s="25">
        <v>1</v>
      </c>
      <c r="N109" s="25">
        <v>1</v>
      </c>
      <c r="O109" s="25">
        <v>0</v>
      </c>
      <c r="P109" s="25">
        <v>0</v>
      </c>
      <c r="Q109" s="82" t="s">
        <v>59</v>
      </c>
      <c r="R109" s="25" t="s">
        <v>59</v>
      </c>
      <c r="S109" s="25" t="s">
        <v>59</v>
      </c>
      <c r="T109" s="25">
        <v>0</v>
      </c>
      <c r="U109" s="25">
        <v>0</v>
      </c>
      <c r="V109" s="25">
        <v>0</v>
      </c>
      <c r="W109" s="25">
        <v>0</v>
      </c>
      <c r="X109" s="25">
        <v>0</v>
      </c>
      <c r="Y109" s="25">
        <v>0</v>
      </c>
      <c r="Z109" s="25">
        <v>0</v>
      </c>
      <c r="AA109" s="25">
        <v>0</v>
      </c>
      <c r="AB109" s="25">
        <v>0</v>
      </c>
      <c r="AC109" s="25">
        <v>0</v>
      </c>
      <c r="AD109" s="25">
        <v>0</v>
      </c>
      <c r="AE109" s="25">
        <v>1</v>
      </c>
      <c r="AF109" s="25">
        <v>1</v>
      </c>
      <c r="AG109" s="25">
        <v>1</v>
      </c>
      <c r="AH109" s="25">
        <v>1</v>
      </c>
      <c r="AI109" s="25">
        <v>0</v>
      </c>
      <c r="AJ109" s="25">
        <v>0</v>
      </c>
      <c r="AK109" s="9">
        <v>1</v>
      </c>
      <c r="AL109" s="25">
        <v>0</v>
      </c>
      <c r="AM109" s="25">
        <v>1</v>
      </c>
      <c r="AN109" s="25">
        <v>0</v>
      </c>
      <c r="AO109" s="9" t="s">
        <v>59</v>
      </c>
      <c r="AP109" s="9" t="s">
        <v>59</v>
      </c>
      <c r="AQ109" s="9" t="s">
        <v>59</v>
      </c>
      <c r="AR109" s="25"/>
      <c r="AS109" s="25"/>
      <c r="AT109" s="25" t="s">
        <v>279</v>
      </c>
    </row>
    <row r="110" spans="1:155" s="9" customFormat="1" ht="13.75" customHeight="1">
      <c r="A110" s="28" t="s">
        <v>710</v>
      </c>
      <c r="B110" s="29" t="s">
        <v>711</v>
      </c>
      <c r="C110" s="29" t="s">
        <v>162</v>
      </c>
      <c r="D110" s="29" t="s">
        <v>712</v>
      </c>
      <c r="E110" s="29" t="s">
        <v>713</v>
      </c>
      <c r="F110" s="42">
        <v>2023</v>
      </c>
      <c r="G110" s="81" t="s">
        <v>1158</v>
      </c>
      <c r="H110" s="30" t="s">
        <v>124</v>
      </c>
      <c r="I110" s="30" t="s">
        <v>714</v>
      </c>
      <c r="J110" s="25">
        <v>1</v>
      </c>
      <c r="K110" s="25">
        <v>0</v>
      </c>
      <c r="L110" s="25">
        <v>0</v>
      </c>
      <c r="M110" s="25">
        <v>1</v>
      </c>
      <c r="N110" s="25">
        <v>1</v>
      </c>
      <c r="O110" s="25">
        <v>0</v>
      </c>
      <c r="P110" s="25">
        <v>0</v>
      </c>
      <c r="Q110" s="82" t="s">
        <v>59</v>
      </c>
      <c r="R110" s="25" t="s">
        <v>59</v>
      </c>
      <c r="S110" s="25" t="s">
        <v>59</v>
      </c>
      <c r="T110" s="25">
        <v>0</v>
      </c>
      <c r="U110" s="25">
        <v>0</v>
      </c>
      <c r="V110" s="25">
        <v>0</v>
      </c>
      <c r="W110" s="25">
        <v>0</v>
      </c>
      <c r="X110" s="25">
        <v>0</v>
      </c>
      <c r="Y110" s="25">
        <v>0</v>
      </c>
      <c r="Z110" s="25">
        <v>0</v>
      </c>
      <c r="AA110" s="25">
        <v>0</v>
      </c>
      <c r="AB110" s="25">
        <v>1</v>
      </c>
      <c r="AC110" s="25">
        <v>0</v>
      </c>
      <c r="AD110" s="25">
        <v>0</v>
      </c>
      <c r="AE110" s="25">
        <v>0</v>
      </c>
      <c r="AF110" s="25" t="s">
        <v>59</v>
      </c>
      <c r="AG110" s="25" t="s">
        <v>59</v>
      </c>
      <c r="AH110" s="25" t="s">
        <v>59</v>
      </c>
      <c r="AI110" s="25" t="s">
        <v>59</v>
      </c>
      <c r="AJ110" s="25">
        <v>0</v>
      </c>
      <c r="AK110" s="9">
        <v>1</v>
      </c>
      <c r="AL110" s="25">
        <v>0</v>
      </c>
      <c r="AM110" s="25">
        <v>1</v>
      </c>
      <c r="AN110" s="25">
        <v>0</v>
      </c>
      <c r="AO110" s="9" t="s">
        <v>59</v>
      </c>
      <c r="AP110" s="9" t="s">
        <v>59</v>
      </c>
      <c r="AQ110" s="9" t="s">
        <v>59</v>
      </c>
      <c r="AR110" s="25"/>
      <c r="AS110" s="25"/>
      <c r="AT110" s="25" t="s">
        <v>279</v>
      </c>
    </row>
    <row r="111" spans="1:155" s="9" customFormat="1" ht="13.75" customHeight="1">
      <c r="A111" s="28" t="s">
        <v>715</v>
      </c>
      <c r="B111" s="29" t="s">
        <v>716</v>
      </c>
      <c r="C111" s="29" t="s">
        <v>78</v>
      </c>
      <c r="D111" s="29" t="s">
        <v>717</v>
      </c>
      <c r="E111" s="29" t="s">
        <v>718</v>
      </c>
      <c r="F111" s="42">
        <v>2023</v>
      </c>
      <c r="G111" s="81" t="s">
        <v>1159</v>
      </c>
      <c r="H111" s="30" t="s">
        <v>82</v>
      </c>
      <c r="I111" s="30" t="s">
        <v>719</v>
      </c>
      <c r="J111" s="25">
        <v>1</v>
      </c>
      <c r="K111" s="25">
        <v>0</v>
      </c>
      <c r="L111" s="25">
        <v>1</v>
      </c>
      <c r="M111" s="25">
        <v>1</v>
      </c>
      <c r="N111" s="25">
        <v>1</v>
      </c>
      <c r="O111" s="25">
        <v>0</v>
      </c>
      <c r="P111" s="25">
        <v>0</v>
      </c>
      <c r="Q111" s="82" t="s">
        <v>59</v>
      </c>
      <c r="R111" s="25" t="s">
        <v>59</v>
      </c>
      <c r="S111" s="25" t="s">
        <v>59</v>
      </c>
      <c r="T111" s="25">
        <v>0</v>
      </c>
      <c r="U111" s="25">
        <v>0</v>
      </c>
      <c r="V111" s="25">
        <v>0</v>
      </c>
      <c r="W111" s="25">
        <v>0</v>
      </c>
      <c r="X111" s="25">
        <v>0</v>
      </c>
      <c r="Y111" s="25">
        <v>0</v>
      </c>
      <c r="Z111" s="25">
        <v>0</v>
      </c>
      <c r="AA111" s="25">
        <v>0</v>
      </c>
      <c r="AB111" s="25">
        <v>1</v>
      </c>
      <c r="AC111" s="25">
        <v>0</v>
      </c>
      <c r="AD111" s="25">
        <v>0</v>
      </c>
      <c r="AE111" s="25">
        <v>0</v>
      </c>
      <c r="AF111" s="25" t="s">
        <v>59</v>
      </c>
      <c r="AG111" s="25" t="s">
        <v>59</v>
      </c>
      <c r="AH111" s="25" t="s">
        <v>59</v>
      </c>
      <c r="AI111" s="25" t="s">
        <v>59</v>
      </c>
      <c r="AJ111" s="25">
        <v>0</v>
      </c>
      <c r="AK111" s="9">
        <v>1</v>
      </c>
      <c r="AL111" s="25">
        <v>0</v>
      </c>
      <c r="AM111" s="25">
        <v>1</v>
      </c>
      <c r="AN111" s="25">
        <v>0</v>
      </c>
      <c r="AO111" s="9" t="s">
        <v>59</v>
      </c>
      <c r="AP111" s="9" t="s">
        <v>59</v>
      </c>
      <c r="AQ111" s="9" t="s">
        <v>59</v>
      </c>
      <c r="AR111" s="25"/>
      <c r="AS111" s="25"/>
      <c r="AT111" s="25" t="s">
        <v>279</v>
      </c>
    </row>
    <row r="112" spans="1:155" s="9" customFormat="1" ht="13.75" customHeight="1">
      <c r="A112" s="42" t="s">
        <v>720</v>
      </c>
      <c r="B112" s="42" t="s">
        <v>721</v>
      </c>
      <c r="C112" s="42" t="s">
        <v>519</v>
      </c>
      <c r="D112" s="42" t="s">
        <v>722</v>
      </c>
      <c r="E112" s="42" t="s">
        <v>723</v>
      </c>
      <c r="F112" s="42">
        <v>2023</v>
      </c>
      <c r="G112" s="83" t="s">
        <v>1160</v>
      </c>
      <c r="H112" s="43" t="s">
        <v>246</v>
      </c>
      <c r="I112" s="43" t="s">
        <v>724</v>
      </c>
      <c r="J112" s="44">
        <v>1</v>
      </c>
      <c r="K112" s="44">
        <v>0</v>
      </c>
      <c r="L112" s="44">
        <v>0</v>
      </c>
      <c r="M112" s="44">
        <v>1</v>
      </c>
      <c r="N112" s="44">
        <v>1</v>
      </c>
      <c r="O112" s="44">
        <v>0</v>
      </c>
      <c r="P112" s="44">
        <v>0</v>
      </c>
      <c r="Q112" s="44">
        <v>1</v>
      </c>
      <c r="R112" s="44">
        <v>0</v>
      </c>
      <c r="S112" s="44">
        <v>1</v>
      </c>
      <c r="T112" s="44">
        <v>0</v>
      </c>
      <c r="U112" s="44">
        <v>0</v>
      </c>
      <c r="V112" s="44">
        <v>0</v>
      </c>
      <c r="W112" s="44">
        <v>0</v>
      </c>
      <c r="X112" s="44">
        <v>0</v>
      </c>
      <c r="Y112" s="44">
        <v>0</v>
      </c>
      <c r="Z112" s="44">
        <v>0</v>
      </c>
      <c r="AA112" s="44">
        <v>0</v>
      </c>
      <c r="AB112" s="44">
        <v>1</v>
      </c>
      <c r="AC112" s="44">
        <v>0</v>
      </c>
      <c r="AD112" s="44">
        <v>0</v>
      </c>
      <c r="AE112" s="44">
        <v>1</v>
      </c>
      <c r="AF112" s="44">
        <v>1</v>
      </c>
      <c r="AG112" s="44">
        <v>1</v>
      </c>
      <c r="AH112" s="44">
        <v>1</v>
      </c>
      <c r="AI112" s="44">
        <v>0</v>
      </c>
      <c r="AJ112" s="44">
        <v>0</v>
      </c>
      <c r="AK112" s="44">
        <v>1</v>
      </c>
      <c r="AL112" s="44">
        <v>1</v>
      </c>
      <c r="AM112" s="44">
        <v>1</v>
      </c>
      <c r="AN112" s="44">
        <v>0</v>
      </c>
      <c r="AO112" s="44"/>
      <c r="AP112" s="44"/>
      <c r="AQ112" s="44"/>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row>
    <row r="113" spans="1:155" s="9" customFormat="1" ht="13.75" customHeight="1">
      <c r="A113" s="28" t="s">
        <v>725</v>
      </c>
      <c r="B113" s="29" t="s">
        <v>726</v>
      </c>
      <c r="C113" s="29" t="s">
        <v>265</v>
      </c>
      <c r="D113" s="29" t="s">
        <v>727</v>
      </c>
      <c r="E113" s="29" t="s">
        <v>728</v>
      </c>
      <c r="F113" s="42">
        <v>2023</v>
      </c>
      <c r="G113" s="81" t="s">
        <v>1161</v>
      </c>
      <c r="H113" s="30" t="s">
        <v>105</v>
      </c>
      <c r="I113" s="30" t="s">
        <v>729</v>
      </c>
      <c r="J113" s="25">
        <v>1</v>
      </c>
      <c r="K113" s="25">
        <v>0</v>
      </c>
      <c r="L113" s="25">
        <v>1</v>
      </c>
      <c r="M113" s="25">
        <v>1</v>
      </c>
      <c r="N113" s="25">
        <v>1</v>
      </c>
      <c r="O113" s="25">
        <v>0</v>
      </c>
      <c r="P113" s="25">
        <v>0</v>
      </c>
      <c r="Q113" s="82">
        <v>1</v>
      </c>
      <c r="R113" s="25">
        <v>0</v>
      </c>
      <c r="S113" s="25">
        <v>1</v>
      </c>
      <c r="T113" s="25">
        <v>0</v>
      </c>
      <c r="U113" s="25">
        <v>0</v>
      </c>
      <c r="V113" s="25">
        <v>0</v>
      </c>
      <c r="W113" s="25">
        <v>0</v>
      </c>
      <c r="X113" s="25">
        <v>0</v>
      </c>
      <c r="Y113" s="25">
        <v>0</v>
      </c>
      <c r="Z113" s="25">
        <v>0</v>
      </c>
      <c r="AA113" s="25">
        <v>0</v>
      </c>
      <c r="AB113" s="25">
        <v>0</v>
      </c>
      <c r="AC113" s="25">
        <v>0</v>
      </c>
      <c r="AD113" s="25">
        <v>0</v>
      </c>
      <c r="AE113" s="25">
        <v>0</v>
      </c>
      <c r="AF113" s="25">
        <v>1</v>
      </c>
      <c r="AG113" s="25">
        <v>1</v>
      </c>
      <c r="AH113" s="25">
        <v>1</v>
      </c>
      <c r="AI113" s="25">
        <v>0</v>
      </c>
      <c r="AJ113" s="25">
        <v>0</v>
      </c>
      <c r="AK113" s="9">
        <v>1</v>
      </c>
      <c r="AL113" s="25">
        <v>0</v>
      </c>
      <c r="AM113" s="25">
        <v>1</v>
      </c>
      <c r="AN113" s="25">
        <v>0</v>
      </c>
      <c r="AO113" s="9" t="s">
        <v>59</v>
      </c>
      <c r="AP113" s="9" t="s">
        <v>59</v>
      </c>
      <c r="AQ113" s="9" t="s">
        <v>59</v>
      </c>
      <c r="AR113" s="25"/>
      <c r="AS113" s="25"/>
      <c r="AT113" s="25" t="s">
        <v>279</v>
      </c>
    </row>
    <row r="114" spans="1:155" s="9" customFormat="1" ht="13.75" customHeight="1">
      <c r="A114" s="28" t="s">
        <v>731</v>
      </c>
      <c r="B114" s="28" t="s">
        <v>732</v>
      </c>
      <c r="C114" s="28" t="s">
        <v>733</v>
      </c>
      <c r="D114" s="28" t="s">
        <v>734</v>
      </c>
      <c r="E114" s="28" t="s">
        <v>735</v>
      </c>
      <c r="F114" s="28">
        <v>2022</v>
      </c>
      <c r="G114" s="85" t="s">
        <v>1162</v>
      </c>
      <c r="H114" s="34" t="s">
        <v>736</v>
      </c>
      <c r="I114" s="34" t="s">
        <v>737</v>
      </c>
      <c r="J114" s="13">
        <v>1</v>
      </c>
      <c r="K114" s="13">
        <v>0</v>
      </c>
      <c r="L114" s="13">
        <v>1</v>
      </c>
      <c r="M114" s="13">
        <v>1</v>
      </c>
      <c r="N114" s="13">
        <v>1</v>
      </c>
      <c r="O114" s="13">
        <v>0</v>
      </c>
      <c r="P114" s="13">
        <v>0</v>
      </c>
      <c r="Q114" s="13">
        <v>1</v>
      </c>
      <c r="R114" s="13">
        <v>0</v>
      </c>
      <c r="S114" s="13">
        <v>1</v>
      </c>
      <c r="T114" s="13">
        <v>1</v>
      </c>
      <c r="U114" s="13">
        <v>0</v>
      </c>
      <c r="V114" s="13">
        <v>0</v>
      </c>
      <c r="W114" s="13">
        <v>0</v>
      </c>
      <c r="X114" s="13">
        <v>0</v>
      </c>
      <c r="Y114" s="13">
        <v>0</v>
      </c>
      <c r="Z114" s="13">
        <v>0</v>
      </c>
      <c r="AA114" s="13">
        <v>0</v>
      </c>
      <c r="AB114" s="13">
        <v>0</v>
      </c>
      <c r="AC114" s="13">
        <v>0</v>
      </c>
      <c r="AD114" s="13">
        <v>0</v>
      </c>
      <c r="AE114" s="13">
        <v>0</v>
      </c>
      <c r="AF114" s="13" t="s">
        <v>59</v>
      </c>
      <c r="AG114" s="13" t="s">
        <v>59</v>
      </c>
      <c r="AH114" s="13" t="s">
        <v>59</v>
      </c>
      <c r="AI114" s="13" t="s">
        <v>59</v>
      </c>
      <c r="AJ114" s="13">
        <v>1</v>
      </c>
      <c r="AK114" s="13">
        <v>0</v>
      </c>
      <c r="AL114" s="13">
        <v>1</v>
      </c>
      <c r="AM114" s="13">
        <v>1</v>
      </c>
      <c r="AN114" s="13">
        <v>0</v>
      </c>
      <c r="AO114" s="13"/>
      <c r="AP114" s="13"/>
      <c r="AQ114" s="13"/>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row>
    <row r="115" spans="1:155" s="9" customFormat="1" ht="13.75" customHeight="1">
      <c r="A115" s="28" t="s">
        <v>738</v>
      </c>
      <c r="B115" s="29" t="s">
        <v>739</v>
      </c>
      <c r="C115" s="29" t="s">
        <v>740</v>
      </c>
      <c r="D115" s="29" t="s">
        <v>741</v>
      </c>
      <c r="E115" s="29" t="s">
        <v>742</v>
      </c>
      <c r="F115" s="28">
        <v>2022</v>
      </c>
      <c r="G115" s="81" t="s">
        <v>1163</v>
      </c>
      <c r="H115" s="30" t="s">
        <v>402</v>
      </c>
      <c r="I115" s="30" t="s">
        <v>743</v>
      </c>
      <c r="J115" s="25">
        <v>1</v>
      </c>
      <c r="K115" s="25">
        <v>0</v>
      </c>
      <c r="L115" s="25">
        <v>0</v>
      </c>
      <c r="M115" s="25">
        <v>1</v>
      </c>
      <c r="N115" s="25" t="s">
        <v>59</v>
      </c>
      <c r="O115" s="25" t="s">
        <v>59</v>
      </c>
      <c r="P115" s="25" t="s">
        <v>59</v>
      </c>
      <c r="Q115" s="82" t="s">
        <v>59</v>
      </c>
      <c r="R115" s="25" t="s">
        <v>59</v>
      </c>
      <c r="S115" s="25" t="s">
        <v>59</v>
      </c>
      <c r="T115" s="25">
        <v>0</v>
      </c>
      <c r="U115" s="25">
        <v>0</v>
      </c>
      <c r="V115" s="25">
        <v>0</v>
      </c>
      <c r="W115" s="25">
        <v>0</v>
      </c>
      <c r="X115" s="25">
        <v>0</v>
      </c>
      <c r="Y115" s="25">
        <v>0</v>
      </c>
      <c r="Z115" s="25">
        <v>0</v>
      </c>
      <c r="AA115" s="25">
        <v>0</v>
      </c>
      <c r="AB115" s="25">
        <v>0</v>
      </c>
      <c r="AC115" s="25">
        <v>0</v>
      </c>
      <c r="AD115" s="25">
        <v>0</v>
      </c>
      <c r="AE115" s="25">
        <v>1</v>
      </c>
      <c r="AF115" s="25">
        <v>1</v>
      </c>
      <c r="AG115" s="25">
        <v>1</v>
      </c>
      <c r="AH115" s="25">
        <v>1</v>
      </c>
      <c r="AI115" s="25">
        <v>0</v>
      </c>
      <c r="AJ115" s="25">
        <v>0</v>
      </c>
      <c r="AK115" s="9">
        <v>1</v>
      </c>
      <c r="AL115" s="25">
        <v>0</v>
      </c>
      <c r="AM115" s="25">
        <v>1</v>
      </c>
      <c r="AN115" s="25">
        <v>0</v>
      </c>
      <c r="AO115" s="9" t="s">
        <v>59</v>
      </c>
      <c r="AP115" s="9" t="s">
        <v>59</v>
      </c>
      <c r="AQ115" s="9" t="s">
        <v>59</v>
      </c>
      <c r="AR115" s="25"/>
      <c r="AS115" s="25"/>
      <c r="AT115" s="25" t="s">
        <v>279</v>
      </c>
    </row>
    <row r="116" spans="1:155" s="9" customFormat="1" ht="13.75" customHeight="1">
      <c r="A116" s="28" t="s">
        <v>744</v>
      </c>
      <c r="B116" s="29" t="s">
        <v>745</v>
      </c>
      <c r="C116" s="29" t="s">
        <v>133</v>
      </c>
      <c r="D116" s="29" t="s">
        <v>746</v>
      </c>
      <c r="E116" s="29" t="s">
        <v>747</v>
      </c>
      <c r="F116" s="28">
        <v>2022</v>
      </c>
      <c r="G116" s="81" t="s">
        <v>1164</v>
      </c>
      <c r="H116" s="30" t="s">
        <v>117</v>
      </c>
      <c r="I116" s="30" t="s">
        <v>748</v>
      </c>
      <c r="J116" s="25">
        <v>1</v>
      </c>
      <c r="K116" s="25">
        <v>0</v>
      </c>
      <c r="L116" s="25">
        <v>1</v>
      </c>
      <c r="M116" s="25">
        <v>1</v>
      </c>
      <c r="N116" s="25">
        <v>0</v>
      </c>
      <c r="O116" s="25">
        <v>1</v>
      </c>
      <c r="P116" s="25">
        <v>0</v>
      </c>
      <c r="Q116" s="82" t="s">
        <v>59</v>
      </c>
      <c r="R116" s="25" t="s">
        <v>59</v>
      </c>
      <c r="S116" s="25" t="s">
        <v>59</v>
      </c>
      <c r="T116" s="25">
        <v>0</v>
      </c>
      <c r="U116" s="25">
        <v>0</v>
      </c>
      <c r="V116" s="25">
        <v>0</v>
      </c>
      <c r="W116" s="25">
        <v>0</v>
      </c>
      <c r="X116" s="25">
        <v>0</v>
      </c>
      <c r="Y116" s="25">
        <v>0</v>
      </c>
      <c r="Z116" s="25">
        <v>0</v>
      </c>
      <c r="AA116" s="25">
        <v>0</v>
      </c>
      <c r="AB116" s="25">
        <v>1</v>
      </c>
      <c r="AC116" s="25">
        <v>0</v>
      </c>
      <c r="AD116" s="25">
        <v>0</v>
      </c>
      <c r="AE116" s="25">
        <v>0</v>
      </c>
      <c r="AF116" s="25">
        <v>1</v>
      </c>
      <c r="AG116" s="25">
        <v>0</v>
      </c>
      <c r="AH116" s="25">
        <v>0</v>
      </c>
      <c r="AI116" s="25">
        <v>0</v>
      </c>
      <c r="AJ116" s="25">
        <v>0</v>
      </c>
      <c r="AK116" s="9">
        <v>1</v>
      </c>
      <c r="AL116" s="25">
        <v>0</v>
      </c>
      <c r="AM116" s="25">
        <v>1</v>
      </c>
      <c r="AN116" s="25">
        <v>0</v>
      </c>
      <c r="AO116" s="9" t="s">
        <v>59</v>
      </c>
      <c r="AP116" s="9" t="s">
        <v>59</v>
      </c>
      <c r="AQ116" s="9" t="s">
        <v>59</v>
      </c>
      <c r="AR116" s="25"/>
      <c r="AS116" s="25"/>
      <c r="AT116" s="25" t="s">
        <v>279</v>
      </c>
    </row>
    <row r="117" spans="1:155" s="9" customFormat="1" ht="13.75" customHeight="1">
      <c r="A117" s="31" t="s">
        <v>749</v>
      </c>
      <c r="B117" s="32" t="s">
        <v>750</v>
      </c>
      <c r="C117" s="32" t="s">
        <v>751</v>
      </c>
      <c r="D117" s="32" t="s">
        <v>752</v>
      </c>
      <c r="E117" s="32" t="s">
        <v>753</v>
      </c>
      <c r="F117" s="28">
        <v>2022</v>
      </c>
      <c r="G117" s="84" t="s">
        <v>1165</v>
      </c>
      <c r="H117" s="33" t="s">
        <v>754</v>
      </c>
      <c r="I117" s="33" t="s">
        <v>755</v>
      </c>
      <c r="J117" s="25">
        <v>1</v>
      </c>
      <c r="K117" s="25">
        <v>0</v>
      </c>
      <c r="L117" s="25">
        <v>0</v>
      </c>
      <c r="M117" s="25">
        <v>1</v>
      </c>
      <c r="N117" s="25">
        <v>1</v>
      </c>
      <c r="O117" s="25">
        <v>0</v>
      </c>
      <c r="P117" s="25">
        <v>0</v>
      </c>
      <c r="Q117" s="82">
        <v>0</v>
      </c>
      <c r="R117" s="25">
        <v>0</v>
      </c>
      <c r="S117" s="25">
        <v>1</v>
      </c>
      <c r="T117" s="25">
        <v>0</v>
      </c>
      <c r="U117" s="25">
        <v>0</v>
      </c>
      <c r="V117" s="25">
        <v>0</v>
      </c>
      <c r="W117" s="25">
        <v>0</v>
      </c>
      <c r="X117" s="25">
        <v>0</v>
      </c>
      <c r="Y117" s="25">
        <v>0</v>
      </c>
      <c r="Z117" s="25">
        <v>1</v>
      </c>
      <c r="AA117" s="25">
        <v>0</v>
      </c>
      <c r="AB117" s="25">
        <v>0</v>
      </c>
      <c r="AC117" s="25">
        <v>0</v>
      </c>
      <c r="AD117" s="25">
        <v>0</v>
      </c>
      <c r="AE117" s="25">
        <v>0</v>
      </c>
      <c r="AF117" s="25">
        <v>0</v>
      </c>
      <c r="AG117" s="25">
        <v>1</v>
      </c>
      <c r="AH117" s="25">
        <v>1</v>
      </c>
      <c r="AI117" s="25">
        <v>0</v>
      </c>
      <c r="AJ117" s="25">
        <v>1</v>
      </c>
      <c r="AK117" s="9">
        <v>1</v>
      </c>
      <c r="AL117" s="25">
        <v>0</v>
      </c>
      <c r="AM117" s="25">
        <v>1</v>
      </c>
      <c r="AN117" s="25">
        <v>0</v>
      </c>
      <c r="AO117" s="9" t="s">
        <v>59</v>
      </c>
      <c r="AP117" s="9" t="s">
        <v>59</v>
      </c>
      <c r="AQ117" s="9" t="s">
        <v>59</v>
      </c>
      <c r="AR117" s="25"/>
      <c r="AS117" s="25"/>
      <c r="AT117" s="25" t="s">
        <v>279</v>
      </c>
    </row>
    <row r="118" spans="1:155" s="9" customFormat="1" ht="13.75" customHeight="1">
      <c r="A118" s="28" t="s">
        <v>756</v>
      </c>
      <c r="B118" s="29" t="s">
        <v>757</v>
      </c>
      <c r="C118" s="29" t="s">
        <v>69</v>
      </c>
      <c r="D118" s="29" t="s">
        <v>758</v>
      </c>
      <c r="E118" s="29" t="s">
        <v>759</v>
      </c>
      <c r="F118" s="28">
        <v>2022</v>
      </c>
      <c r="G118" s="81" t="s">
        <v>1166</v>
      </c>
      <c r="H118" s="30" t="s">
        <v>72</v>
      </c>
      <c r="I118" s="30" t="s">
        <v>760</v>
      </c>
      <c r="J118" s="25">
        <v>1</v>
      </c>
      <c r="K118" s="25">
        <v>0</v>
      </c>
      <c r="L118" s="25">
        <v>0</v>
      </c>
      <c r="M118" s="25">
        <v>1</v>
      </c>
      <c r="N118" s="25">
        <v>1</v>
      </c>
      <c r="O118" s="25">
        <v>0</v>
      </c>
      <c r="P118" s="25">
        <v>0</v>
      </c>
      <c r="Q118" s="82" t="s">
        <v>59</v>
      </c>
      <c r="R118" s="25" t="s">
        <v>59</v>
      </c>
      <c r="S118" s="25" t="s">
        <v>59</v>
      </c>
      <c r="T118" s="25">
        <v>0</v>
      </c>
      <c r="U118" s="25">
        <v>0</v>
      </c>
      <c r="V118" s="25">
        <v>0</v>
      </c>
      <c r="W118" s="25">
        <v>0</v>
      </c>
      <c r="X118" s="25">
        <v>0</v>
      </c>
      <c r="Y118" s="25">
        <v>0</v>
      </c>
      <c r="Z118" s="25">
        <v>0</v>
      </c>
      <c r="AA118" s="25">
        <v>0</v>
      </c>
      <c r="AB118" s="25">
        <v>0</v>
      </c>
      <c r="AC118" s="25">
        <v>0</v>
      </c>
      <c r="AD118" s="25">
        <v>0</v>
      </c>
      <c r="AE118" s="25">
        <v>1</v>
      </c>
      <c r="AF118" s="25">
        <v>1</v>
      </c>
      <c r="AG118" s="25">
        <v>0</v>
      </c>
      <c r="AH118" s="25">
        <v>0</v>
      </c>
      <c r="AI118" s="25">
        <v>0</v>
      </c>
      <c r="AJ118" s="25">
        <v>0</v>
      </c>
      <c r="AK118" s="9">
        <v>1</v>
      </c>
      <c r="AL118" s="25">
        <v>0</v>
      </c>
      <c r="AM118" s="25">
        <v>1</v>
      </c>
      <c r="AN118" s="25">
        <v>0</v>
      </c>
      <c r="AO118" s="9" t="s">
        <v>59</v>
      </c>
      <c r="AP118" s="9" t="s">
        <v>59</v>
      </c>
      <c r="AQ118" s="9" t="s">
        <v>59</v>
      </c>
      <c r="AR118" s="25"/>
      <c r="AS118" s="25"/>
      <c r="AT118" s="25" t="s">
        <v>279</v>
      </c>
    </row>
    <row r="119" spans="1:155" s="9" customFormat="1" ht="13.75" customHeight="1">
      <c r="A119" s="31" t="s">
        <v>761</v>
      </c>
      <c r="B119" s="32" t="s">
        <v>762</v>
      </c>
      <c r="C119" s="32" t="s">
        <v>196</v>
      </c>
      <c r="D119" s="32" t="s">
        <v>279</v>
      </c>
      <c r="E119" s="32" t="s">
        <v>763</v>
      </c>
      <c r="F119" s="28">
        <v>2022</v>
      </c>
      <c r="G119" s="84" t="s">
        <v>1167</v>
      </c>
      <c r="H119" s="33" t="s">
        <v>124</v>
      </c>
      <c r="I119" s="33" t="s">
        <v>764</v>
      </c>
      <c r="J119" s="25">
        <v>1</v>
      </c>
      <c r="K119" s="25">
        <v>0</v>
      </c>
      <c r="L119" s="25">
        <v>0</v>
      </c>
      <c r="M119" s="25">
        <v>1</v>
      </c>
      <c r="N119" s="25">
        <v>1</v>
      </c>
      <c r="O119" s="25">
        <v>0</v>
      </c>
      <c r="P119" s="25">
        <v>0</v>
      </c>
      <c r="Q119" s="82" t="s">
        <v>59</v>
      </c>
      <c r="R119" s="25" t="s">
        <v>59</v>
      </c>
      <c r="S119" s="25" t="s">
        <v>59</v>
      </c>
      <c r="T119" s="25">
        <v>0</v>
      </c>
      <c r="U119" s="25">
        <v>0</v>
      </c>
      <c r="V119" s="25">
        <v>0</v>
      </c>
      <c r="W119" s="25">
        <v>0</v>
      </c>
      <c r="X119" s="25">
        <v>0</v>
      </c>
      <c r="Y119" s="25">
        <v>0</v>
      </c>
      <c r="Z119" s="25">
        <v>0</v>
      </c>
      <c r="AA119" s="25">
        <v>0</v>
      </c>
      <c r="AB119" s="25">
        <v>1</v>
      </c>
      <c r="AC119" s="25">
        <v>0</v>
      </c>
      <c r="AD119" s="25">
        <v>0</v>
      </c>
      <c r="AE119" s="25">
        <v>1</v>
      </c>
      <c r="AF119" s="25" t="s">
        <v>59</v>
      </c>
      <c r="AG119" s="25" t="s">
        <v>59</v>
      </c>
      <c r="AH119" s="25" t="s">
        <v>59</v>
      </c>
      <c r="AI119" s="25" t="s">
        <v>59</v>
      </c>
      <c r="AJ119" s="25">
        <v>0</v>
      </c>
      <c r="AK119" s="9">
        <v>1</v>
      </c>
      <c r="AL119" s="25">
        <v>0</v>
      </c>
      <c r="AM119" s="25">
        <v>1</v>
      </c>
      <c r="AN119" s="25">
        <v>0</v>
      </c>
      <c r="AO119" s="9" t="s">
        <v>59</v>
      </c>
      <c r="AP119" s="9" t="s">
        <v>59</v>
      </c>
      <c r="AQ119" s="9" t="s">
        <v>59</v>
      </c>
      <c r="AR119" s="25"/>
      <c r="AS119" s="25"/>
      <c r="AT119" s="25" t="s">
        <v>279</v>
      </c>
    </row>
    <row r="120" spans="1:155" s="9" customFormat="1" ht="13.75" customHeight="1">
      <c r="A120" s="31" t="s">
        <v>765</v>
      </c>
      <c r="B120" s="32" t="s">
        <v>766</v>
      </c>
      <c r="C120" s="32" t="s">
        <v>278</v>
      </c>
      <c r="D120" s="32" t="s">
        <v>767</v>
      </c>
      <c r="E120" s="32" t="s">
        <v>768</v>
      </c>
      <c r="F120" s="28">
        <v>2022</v>
      </c>
      <c r="G120" s="84" t="s">
        <v>1168</v>
      </c>
      <c r="H120" s="33" t="s">
        <v>117</v>
      </c>
      <c r="I120" s="33" t="s">
        <v>769</v>
      </c>
      <c r="J120" s="25">
        <v>1</v>
      </c>
      <c r="K120" s="25">
        <v>0</v>
      </c>
      <c r="L120" s="25">
        <v>0</v>
      </c>
      <c r="M120" s="25">
        <v>1</v>
      </c>
      <c r="N120" s="25" t="s">
        <v>59</v>
      </c>
      <c r="O120" s="25" t="s">
        <v>59</v>
      </c>
      <c r="P120" s="25" t="s">
        <v>59</v>
      </c>
      <c r="Q120" s="82" t="s">
        <v>59</v>
      </c>
      <c r="R120" s="25" t="s">
        <v>59</v>
      </c>
      <c r="S120" s="25" t="s">
        <v>59</v>
      </c>
      <c r="T120" s="25">
        <v>0</v>
      </c>
      <c r="U120" s="25">
        <v>0</v>
      </c>
      <c r="V120" s="25">
        <v>0</v>
      </c>
      <c r="W120" s="25">
        <v>0</v>
      </c>
      <c r="X120" s="25">
        <v>0</v>
      </c>
      <c r="Y120" s="25">
        <v>0</v>
      </c>
      <c r="Z120" s="25">
        <v>0</v>
      </c>
      <c r="AA120" s="25">
        <v>0</v>
      </c>
      <c r="AB120" s="25">
        <v>1</v>
      </c>
      <c r="AC120" s="25">
        <v>0</v>
      </c>
      <c r="AD120" s="25">
        <v>0</v>
      </c>
      <c r="AE120" s="25">
        <v>0</v>
      </c>
      <c r="AF120" s="25" t="s">
        <v>59</v>
      </c>
      <c r="AG120" s="25" t="s">
        <v>59</v>
      </c>
      <c r="AH120" s="25" t="s">
        <v>59</v>
      </c>
      <c r="AI120" s="25" t="s">
        <v>59</v>
      </c>
      <c r="AJ120" s="25">
        <v>0</v>
      </c>
      <c r="AK120" s="9">
        <v>1</v>
      </c>
      <c r="AL120" s="25">
        <v>0</v>
      </c>
      <c r="AM120" s="25">
        <v>1</v>
      </c>
      <c r="AN120" s="25">
        <v>0</v>
      </c>
      <c r="AO120" s="9" t="s">
        <v>59</v>
      </c>
      <c r="AP120" s="9" t="s">
        <v>59</v>
      </c>
      <c r="AQ120" s="9" t="s">
        <v>59</v>
      </c>
      <c r="AR120" s="25"/>
      <c r="AS120" s="25"/>
      <c r="AT120" s="25" t="s">
        <v>279</v>
      </c>
    </row>
    <row r="121" spans="1:155" s="9" customFormat="1" ht="13.75" customHeight="1">
      <c r="A121" s="28" t="s">
        <v>770</v>
      </c>
      <c r="B121" s="28" t="s">
        <v>771</v>
      </c>
      <c r="C121" s="28" t="s">
        <v>74</v>
      </c>
      <c r="D121" s="28" t="s">
        <v>772</v>
      </c>
      <c r="E121" s="28" t="s">
        <v>773</v>
      </c>
      <c r="F121" s="28">
        <v>2022</v>
      </c>
      <c r="G121" s="85" t="s">
        <v>1169</v>
      </c>
      <c r="H121" s="34" t="s">
        <v>75</v>
      </c>
      <c r="I121" s="34" t="s">
        <v>774</v>
      </c>
      <c r="J121" s="13">
        <v>1</v>
      </c>
      <c r="K121" s="13">
        <v>0</v>
      </c>
      <c r="L121" s="13">
        <v>0</v>
      </c>
      <c r="M121" s="13">
        <v>0</v>
      </c>
      <c r="N121" s="13">
        <v>1</v>
      </c>
      <c r="O121" s="13">
        <v>0</v>
      </c>
      <c r="P121" s="13">
        <v>0</v>
      </c>
      <c r="Q121" s="13" t="s">
        <v>59</v>
      </c>
      <c r="R121" s="13" t="s">
        <v>59</v>
      </c>
      <c r="S121" s="13" t="s">
        <v>59</v>
      </c>
      <c r="T121" s="13">
        <v>0</v>
      </c>
      <c r="U121" s="13">
        <v>0</v>
      </c>
      <c r="V121" s="13">
        <v>0</v>
      </c>
      <c r="W121" s="13">
        <v>0</v>
      </c>
      <c r="X121" s="13">
        <v>0</v>
      </c>
      <c r="Y121" s="13">
        <v>0</v>
      </c>
      <c r="Z121" s="13">
        <v>1</v>
      </c>
      <c r="AA121" s="13">
        <v>0</v>
      </c>
      <c r="AB121" s="13">
        <v>0</v>
      </c>
      <c r="AC121" s="13">
        <v>0</v>
      </c>
      <c r="AD121" s="13">
        <v>0</v>
      </c>
      <c r="AE121" s="13">
        <v>1</v>
      </c>
      <c r="AF121" s="13">
        <v>0</v>
      </c>
      <c r="AG121" s="13">
        <v>1</v>
      </c>
      <c r="AH121" s="13">
        <v>1</v>
      </c>
      <c r="AI121" s="13">
        <v>1</v>
      </c>
      <c r="AJ121" s="13">
        <v>1</v>
      </c>
      <c r="AK121" s="13">
        <v>1</v>
      </c>
      <c r="AL121" s="13">
        <v>1</v>
      </c>
      <c r="AM121" s="13">
        <v>1</v>
      </c>
      <c r="AN121" s="13">
        <v>0</v>
      </c>
      <c r="AO121" s="13">
        <v>0</v>
      </c>
      <c r="AP121" s="13">
        <v>0</v>
      </c>
      <c r="AQ121" s="13">
        <v>1</v>
      </c>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row>
    <row r="122" spans="1:155" s="9" customFormat="1" ht="13.75" customHeight="1">
      <c r="A122" s="28" t="s">
        <v>775</v>
      </c>
      <c r="B122" s="29" t="s">
        <v>776</v>
      </c>
      <c r="C122" s="29" t="s">
        <v>579</v>
      </c>
      <c r="D122" s="29" t="s">
        <v>777</v>
      </c>
      <c r="E122" s="29" t="s">
        <v>778</v>
      </c>
      <c r="F122" s="28">
        <v>2022</v>
      </c>
      <c r="G122" s="81" t="s">
        <v>1170</v>
      </c>
      <c r="H122" s="30" t="s">
        <v>124</v>
      </c>
      <c r="I122" s="30" t="s">
        <v>779</v>
      </c>
      <c r="J122" s="25">
        <v>1</v>
      </c>
      <c r="K122" s="25">
        <v>0</v>
      </c>
      <c r="L122" s="25">
        <v>0</v>
      </c>
      <c r="M122" s="25">
        <v>1</v>
      </c>
      <c r="N122" s="25" t="s">
        <v>59</v>
      </c>
      <c r="O122" s="25" t="s">
        <v>59</v>
      </c>
      <c r="P122" s="25" t="s">
        <v>59</v>
      </c>
      <c r="Q122" s="82" t="s">
        <v>59</v>
      </c>
      <c r="R122" s="25" t="s">
        <v>59</v>
      </c>
      <c r="S122" s="25" t="s">
        <v>59</v>
      </c>
      <c r="T122" s="25">
        <v>0</v>
      </c>
      <c r="U122" s="25">
        <v>0</v>
      </c>
      <c r="V122" s="25">
        <v>0</v>
      </c>
      <c r="W122" s="25">
        <v>0</v>
      </c>
      <c r="X122" s="25">
        <v>0</v>
      </c>
      <c r="Y122" s="25">
        <v>0</v>
      </c>
      <c r="Z122" s="25">
        <v>0</v>
      </c>
      <c r="AA122" s="25">
        <v>0</v>
      </c>
      <c r="AB122" s="25">
        <v>0</v>
      </c>
      <c r="AC122" s="25">
        <v>0</v>
      </c>
      <c r="AD122" s="25">
        <v>0</v>
      </c>
      <c r="AE122" s="25">
        <v>1</v>
      </c>
      <c r="AF122" s="25">
        <v>1</v>
      </c>
      <c r="AG122" s="25">
        <v>1</v>
      </c>
      <c r="AH122" s="25">
        <v>1</v>
      </c>
      <c r="AI122" s="25">
        <v>0</v>
      </c>
      <c r="AJ122" s="25">
        <v>0</v>
      </c>
      <c r="AK122" s="9">
        <v>1</v>
      </c>
      <c r="AL122" s="25">
        <v>0</v>
      </c>
      <c r="AM122" s="25">
        <v>1</v>
      </c>
      <c r="AN122" s="25">
        <v>0</v>
      </c>
      <c r="AO122" s="9" t="s">
        <v>59</v>
      </c>
      <c r="AP122" s="9" t="s">
        <v>59</v>
      </c>
      <c r="AQ122" s="9" t="s">
        <v>59</v>
      </c>
      <c r="AR122" s="25"/>
      <c r="AS122" s="25"/>
      <c r="AT122" s="25" t="s">
        <v>279</v>
      </c>
    </row>
    <row r="123" spans="1:155" s="9" customFormat="1" ht="13.75" customHeight="1">
      <c r="A123" s="28" t="s">
        <v>780</v>
      </c>
      <c r="B123" s="28" t="s">
        <v>781</v>
      </c>
      <c r="C123" s="28" t="s">
        <v>196</v>
      </c>
      <c r="D123" s="28"/>
      <c r="E123" s="28" t="s">
        <v>782</v>
      </c>
      <c r="F123" s="28">
        <v>2022</v>
      </c>
      <c r="G123" s="77" t="s">
        <v>1171</v>
      </c>
      <c r="H123" s="34" t="s">
        <v>124</v>
      </c>
      <c r="I123" s="34" t="s">
        <v>783</v>
      </c>
      <c r="J123" s="25">
        <v>1</v>
      </c>
      <c r="K123" s="25">
        <v>0</v>
      </c>
      <c r="L123" s="25">
        <v>0</v>
      </c>
      <c r="M123" s="25">
        <v>1</v>
      </c>
      <c r="N123" s="25">
        <v>1</v>
      </c>
      <c r="O123" s="25">
        <v>0</v>
      </c>
      <c r="P123" s="25">
        <v>0</v>
      </c>
      <c r="Q123" s="82">
        <v>1</v>
      </c>
      <c r="R123" s="25">
        <v>0</v>
      </c>
      <c r="S123" s="25">
        <v>1</v>
      </c>
      <c r="T123" s="25">
        <v>1</v>
      </c>
      <c r="U123" s="25">
        <v>0</v>
      </c>
      <c r="V123" s="25">
        <v>0</v>
      </c>
      <c r="W123" s="25">
        <v>0</v>
      </c>
      <c r="X123" s="25">
        <v>0</v>
      </c>
      <c r="Y123" s="25">
        <v>0</v>
      </c>
      <c r="Z123" s="25">
        <v>0</v>
      </c>
      <c r="AA123" s="25">
        <v>0</v>
      </c>
      <c r="AB123" s="25">
        <v>1</v>
      </c>
      <c r="AC123" s="25">
        <v>0</v>
      </c>
      <c r="AD123" s="25">
        <v>0</v>
      </c>
      <c r="AE123" s="25">
        <v>0</v>
      </c>
      <c r="AF123" s="25">
        <v>1</v>
      </c>
      <c r="AG123" s="25">
        <v>1</v>
      </c>
      <c r="AH123" s="25">
        <v>1</v>
      </c>
      <c r="AI123" s="25">
        <v>0</v>
      </c>
      <c r="AJ123" s="25">
        <v>0</v>
      </c>
      <c r="AK123" s="9">
        <v>1</v>
      </c>
      <c r="AL123" s="25">
        <v>0</v>
      </c>
      <c r="AM123" s="25">
        <v>1</v>
      </c>
      <c r="AN123" s="25">
        <v>0</v>
      </c>
      <c r="AO123" s="9" t="s">
        <v>59</v>
      </c>
      <c r="AP123" s="9" t="s">
        <v>59</v>
      </c>
      <c r="AQ123" s="9" t="s">
        <v>59</v>
      </c>
      <c r="AR123" s="25"/>
      <c r="AS123" s="25"/>
      <c r="AT123" s="25"/>
    </row>
    <row r="124" spans="1:155" s="9" customFormat="1" ht="13.75" customHeight="1">
      <c r="A124" s="28" t="s">
        <v>784</v>
      </c>
      <c r="B124" s="28" t="s">
        <v>785</v>
      </c>
      <c r="C124" s="28" t="s">
        <v>278</v>
      </c>
      <c r="D124" s="28" t="s">
        <v>786</v>
      </c>
      <c r="E124" s="28" t="s">
        <v>787</v>
      </c>
      <c r="F124" s="28">
        <v>2022</v>
      </c>
      <c r="G124" s="77" t="s">
        <v>1172</v>
      </c>
      <c r="H124" s="34" t="s">
        <v>117</v>
      </c>
      <c r="I124" s="34" t="s">
        <v>788</v>
      </c>
      <c r="J124" s="25">
        <v>1</v>
      </c>
      <c r="K124" s="25">
        <v>0</v>
      </c>
      <c r="L124" s="25">
        <v>0</v>
      </c>
      <c r="M124" s="25">
        <v>1</v>
      </c>
      <c r="N124" s="25">
        <v>1</v>
      </c>
      <c r="O124" s="25">
        <v>0</v>
      </c>
      <c r="P124" s="25">
        <v>0</v>
      </c>
      <c r="Q124" s="82" t="s">
        <v>59</v>
      </c>
      <c r="R124" s="25" t="s">
        <v>59</v>
      </c>
      <c r="S124" s="25" t="s">
        <v>59</v>
      </c>
      <c r="T124" s="25">
        <v>0</v>
      </c>
      <c r="U124" s="25">
        <v>0</v>
      </c>
      <c r="V124" s="25">
        <v>0</v>
      </c>
      <c r="W124" s="25">
        <v>0</v>
      </c>
      <c r="X124" s="25">
        <v>0</v>
      </c>
      <c r="Y124" s="25">
        <v>0</v>
      </c>
      <c r="Z124" s="25">
        <v>0</v>
      </c>
      <c r="AA124" s="25">
        <v>0</v>
      </c>
      <c r="AB124" s="25">
        <v>1</v>
      </c>
      <c r="AC124" s="25">
        <v>0</v>
      </c>
      <c r="AD124" s="25">
        <v>0</v>
      </c>
      <c r="AE124" s="25">
        <v>0</v>
      </c>
      <c r="AF124" s="25" t="s">
        <v>59</v>
      </c>
      <c r="AG124" s="25" t="s">
        <v>59</v>
      </c>
      <c r="AH124" s="25" t="s">
        <v>59</v>
      </c>
      <c r="AI124" s="25" t="s">
        <v>59</v>
      </c>
      <c r="AJ124" s="25">
        <v>0</v>
      </c>
      <c r="AK124" s="9">
        <v>1</v>
      </c>
      <c r="AL124" s="25">
        <v>0</v>
      </c>
      <c r="AM124" s="25">
        <v>1</v>
      </c>
      <c r="AN124" s="25">
        <v>0</v>
      </c>
      <c r="AO124" s="9" t="s">
        <v>59</v>
      </c>
      <c r="AP124" s="9" t="s">
        <v>59</v>
      </c>
      <c r="AQ124" s="9" t="s">
        <v>59</v>
      </c>
      <c r="AR124" s="25"/>
      <c r="AS124" s="25"/>
      <c r="AT124" s="25"/>
    </row>
    <row r="125" spans="1:155" s="9" customFormat="1" ht="13.75" customHeight="1">
      <c r="A125" s="28" t="s">
        <v>789</v>
      </c>
      <c r="B125" s="28" t="s">
        <v>790</v>
      </c>
      <c r="C125" s="28" t="s">
        <v>791</v>
      </c>
      <c r="D125" s="28" t="s">
        <v>792</v>
      </c>
      <c r="E125" s="28" t="s">
        <v>793</v>
      </c>
      <c r="F125" s="28">
        <v>2022</v>
      </c>
      <c r="G125" s="77" t="s">
        <v>1173</v>
      </c>
      <c r="H125" s="34" t="s">
        <v>794</v>
      </c>
      <c r="I125" s="34" t="s">
        <v>795</v>
      </c>
      <c r="J125" s="25">
        <v>1</v>
      </c>
      <c r="K125" s="25">
        <v>0</v>
      </c>
      <c r="L125" s="25">
        <v>1</v>
      </c>
      <c r="M125" s="25">
        <v>1</v>
      </c>
      <c r="N125" s="25">
        <v>1</v>
      </c>
      <c r="O125" s="25">
        <v>0</v>
      </c>
      <c r="P125" s="25">
        <v>0</v>
      </c>
      <c r="Q125" s="82" t="s">
        <v>59</v>
      </c>
      <c r="R125" s="25" t="s">
        <v>59</v>
      </c>
      <c r="S125" s="25" t="s">
        <v>59</v>
      </c>
      <c r="T125" s="25">
        <v>0</v>
      </c>
      <c r="U125" s="25">
        <v>0</v>
      </c>
      <c r="V125" s="25">
        <v>0</v>
      </c>
      <c r="W125" s="25">
        <v>0</v>
      </c>
      <c r="X125" s="25">
        <v>0</v>
      </c>
      <c r="Y125" s="25">
        <v>0</v>
      </c>
      <c r="Z125" s="25">
        <v>0</v>
      </c>
      <c r="AA125" s="25">
        <v>0</v>
      </c>
      <c r="AB125" s="25">
        <v>1</v>
      </c>
      <c r="AC125" s="25">
        <v>0</v>
      </c>
      <c r="AD125" s="25">
        <v>0</v>
      </c>
      <c r="AE125" s="25">
        <v>0</v>
      </c>
      <c r="AF125" s="25">
        <v>1</v>
      </c>
      <c r="AG125" s="25">
        <v>0</v>
      </c>
      <c r="AH125" s="25">
        <v>0</v>
      </c>
      <c r="AI125" s="25">
        <v>0</v>
      </c>
      <c r="AJ125" s="25">
        <v>0</v>
      </c>
      <c r="AK125" s="9">
        <v>1</v>
      </c>
      <c r="AL125" s="25">
        <v>0</v>
      </c>
      <c r="AM125" s="25">
        <v>1</v>
      </c>
      <c r="AN125" s="25">
        <v>0</v>
      </c>
      <c r="AO125" s="9" t="s">
        <v>59</v>
      </c>
      <c r="AP125" s="9" t="s">
        <v>59</v>
      </c>
      <c r="AQ125" s="9" t="s">
        <v>59</v>
      </c>
      <c r="AR125" s="25"/>
      <c r="AS125" s="25"/>
      <c r="AT125" s="25"/>
    </row>
    <row r="126" spans="1:155" s="9" customFormat="1" ht="13.75" customHeight="1">
      <c r="A126" s="28" t="s">
        <v>796</v>
      </c>
      <c r="B126" s="28" t="s">
        <v>797</v>
      </c>
      <c r="C126" s="28" t="s">
        <v>558</v>
      </c>
      <c r="D126" s="28" t="s">
        <v>798</v>
      </c>
      <c r="E126" s="28" t="s">
        <v>799</v>
      </c>
      <c r="F126" s="28">
        <v>2022</v>
      </c>
      <c r="G126" s="77" t="s">
        <v>1174</v>
      </c>
      <c r="H126" s="34" t="s">
        <v>561</v>
      </c>
      <c r="I126" s="34" t="s">
        <v>800</v>
      </c>
      <c r="J126" s="25">
        <v>1</v>
      </c>
      <c r="K126" s="25">
        <v>0</v>
      </c>
      <c r="L126" s="25">
        <v>1</v>
      </c>
      <c r="M126" s="25">
        <v>1</v>
      </c>
      <c r="N126" s="25">
        <v>1</v>
      </c>
      <c r="O126" s="25">
        <v>0</v>
      </c>
      <c r="P126" s="25">
        <v>0</v>
      </c>
      <c r="Q126" s="82" t="s">
        <v>59</v>
      </c>
      <c r="R126" s="25" t="s">
        <v>59</v>
      </c>
      <c r="S126" s="25" t="s">
        <v>59</v>
      </c>
      <c r="T126" s="25">
        <v>0</v>
      </c>
      <c r="U126" s="25">
        <v>0</v>
      </c>
      <c r="V126" s="25">
        <v>0</v>
      </c>
      <c r="W126" s="25">
        <v>0</v>
      </c>
      <c r="X126" s="25">
        <v>0</v>
      </c>
      <c r="Y126" s="25">
        <v>0</v>
      </c>
      <c r="Z126" s="25">
        <v>0</v>
      </c>
      <c r="AA126" s="25">
        <v>0</v>
      </c>
      <c r="AB126" s="25">
        <v>0</v>
      </c>
      <c r="AC126" s="25">
        <v>0</v>
      </c>
      <c r="AD126" s="25">
        <v>0</v>
      </c>
      <c r="AE126" s="25">
        <v>1</v>
      </c>
      <c r="AF126" s="25">
        <v>1</v>
      </c>
      <c r="AG126" s="25">
        <v>0</v>
      </c>
      <c r="AH126" s="25">
        <v>0</v>
      </c>
      <c r="AI126" s="25">
        <v>0</v>
      </c>
      <c r="AJ126" s="25">
        <v>0</v>
      </c>
      <c r="AK126" s="9">
        <v>1</v>
      </c>
      <c r="AL126" s="25">
        <v>0</v>
      </c>
      <c r="AM126" s="25">
        <v>1</v>
      </c>
      <c r="AN126" s="25">
        <v>0</v>
      </c>
      <c r="AO126" s="9" t="s">
        <v>59</v>
      </c>
      <c r="AP126" s="9" t="s">
        <v>59</v>
      </c>
      <c r="AQ126" s="9" t="s">
        <v>59</v>
      </c>
      <c r="AR126" s="25"/>
      <c r="AS126" s="25"/>
      <c r="AT126" s="25"/>
    </row>
    <row r="127" spans="1:155" s="9" customFormat="1" ht="13.75" customHeight="1">
      <c r="A127" s="28" t="s">
        <v>801</v>
      </c>
      <c r="B127" s="28" t="s">
        <v>802</v>
      </c>
      <c r="C127" s="28" t="s">
        <v>600</v>
      </c>
      <c r="D127" s="28" t="s">
        <v>803</v>
      </c>
      <c r="E127" s="28" t="s">
        <v>804</v>
      </c>
      <c r="F127" s="28">
        <v>2022</v>
      </c>
      <c r="G127" s="77" t="s">
        <v>1175</v>
      </c>
      <c r="H127" s="34" t="s">
        <v>601</v>
      </c>
      <c r="I127" s="34" t="s">
        <v>805</v>
      </c>
      <c r="J127" s="25">
        <v>1</v>
      </c>
      <c r="K127" s="25">
        <v>0</v>
      </c>
      <c r="L127" s="25">
        <v>0</v>
      </c>
      <c r="M127" s="25">
        <v>1</v>
      </c>
      <c r="N127" s="25" t="s">
        <v>59</v>
      </c>
      <c r="O127" s="25" t="s">
        <v>59</v>
      </c>
      <c r="P127" s="25" t="s">
        <v>59</v>
      </c>
      <c r="Q127" s="82" t="s">
        <v>59</v>
      </c>
      <c r="R127" s="25" t="s">
        <v>59</v>
      </c>
      <c r="S127" s="25" t="s">
        <v>59</v>
      </c>
      <c r="T127" s="25">
        <v>0</v>
      </c>
      <c r="U127" s="25">
        <v>0</v>
      </c>
      <c r="V127" s="25">
        <v>0</v>
      </c>
      <c r="W127" s="25">
        <v>0</v>
      </c>
      <c r="X127" s="25">
        <v>0</v>
      </c>
      <c r="Y127" s="25">
        <v>0</v>
      </c>
      <c r="Z127" s="25">
        <v>0</v>
      </c>
      <c r="AA127" s="25">
        <v>0</v>
      </c>
      <c r="AB127" s="25">
        <v>1</v>
      </c>
      <c r="AC127" s="25">
        <v>0</v>
      </c>
      <c r="AD127" s="25">
        <v>0</v>
      </c>
      <c r="AE127" s="25">
        <v>0</v>
      </c>
      <c r="AF127" s="25">
        <v>1</v>
      </c>
      <c r="AG127" s="25">
        <v>0</v>
      </c>
      <c r="AH127" s="25">
        <v>0</v>
      </c>
      <c r="AI127" s="25">
        <v>0</v>
      </c>
      <c r="AJ127" s="25">
        <v>0</v>
      </c>
      <c r="AK127" s="9">
        <v>1</v>
      </c>
      <c r="AL127" s="25">
        <v>0</v>
      </c>
      <c r="AM127" s="25">
        <v>1</v>
      </c>
      <c r="AN127" s="25">
        <v>0</v>
      </c>
      <c r="AO127" s="9" t="s">
        <v>59</v>
      </c>
      <c r="AP127" s="9" t="s">
        <v>59</v>
      </c>
      <c r="AQ127" s="9" t="s">
        <v>59</v>
      </c>
      <c r="AR127" s="25"/>
      <c r="AS127" s="25"/>
      <c r="AT127" s="25"/>
    </row>
    <row r="128" spans="1:155" s="9" customFormat="1" ht="13.75" customHeight="1">
      <c r="A128" s="28" t="s">
        <v>806</v>
      </c>
      <c r="B128" s="28" t="s">
        <v>807</v>
      </c>
      <c r="C128" s="28" t="s">
        <v>808</v>
      </c>
      <c r="D128" s="28" t="s">
        <v>809</v>
      </c>
      <c r="E128" s="28" t="s">
        <v>810</v>
      </c>
      <c r="F128" s="28">
        <v>2022</v>
      </c>
      <c r="G128" s="77" t="s">
        <v>1176</v>
      </c>
      <c r="H128" s="34" t="s">
        <v>811</v>
      </c>
      <c r="I128" s="34" t="s">
        <v>812</v>
      </c>
      <c r="J128" s="25">
        <v>1</v>
      </c>
      <c r="K128" s="25">
        <v>0</v>
      </c>
      <c r="L128" s="25">
        <v>0</v>
      </c>
      <c r="M128" s="25">
        <v>1</v>
      </c>
      <c r="N128" s="25">
        <v>1</v>
      </c>
      <c r="O128" s="25">
        <v>0</v>
      </c>
      <c r="P128" s="25">
        <v>0</v>
      </c>
      <c r="Q128" s="82" t="s">
        <v>59</v>
      </c>
      <c r="R128" s="25" t="s">
        <v>59</v>
      </c>
      <c r="S128" s="25" t="s">
        <v>59</v>
      </c>
      <c r="T128" s="25">
        <v>0</v>
      </c>
      <c r="U128" s="25">
        <v>0</v>
      </c>
      <c r="V128" s="25">
        <v>0</v>
      </c>
      <c r="W128" s="25">
        <v>0</v>
      </c>
      <c r="X128" s="25">
        <v>0</v>
      </c>
      <c r="Y128" s="25">
        <v>0</v>
      </c>
      <c r="Z128" s="25">
        <v>0</v>
      </c>
      <c r="AA128" s="25">
        <v>0</v>
      </c>
      <c r="AB128" s="25">
        <v>1</v>
      </c>
      <c r="AC128" s="25">
        <v>0</v>
      </c>
      <c r="AD128" s="25">
        <v>0</v>
      </c>
      <c r="AE128" s="25">
        <v>0</v>
      </c>
      <c r="AF128" s="25">
        <v>0</v>
      </c>
      <c r="AG128" s="25">
        <v>1</v>
      </c>
      <c r="AH128" s="25">
        <v>0</v>
      </c>
      <c r="AI128" s="25">
        <v>0</v>
      </c>
      <c r="AJ128" s="25">
        <v>0</v>
      </c>
      <c r="AK128" s="9">
        <v>1</v>
      </c>
      <c r="AL128" s="25">
        <v>0</v>
      </c>
      <c r="AM128" s="25">
        <v>1</v>
      </c>
      <c r="AN128" s="25">
        <v>0</v>
      </c>
      <c r="AO128" s="9" t="s">
        <v>59</v>
      </c>
      <c r="AP128" s="9" t="s">
        <v>59</v>
      </c>
      <c r="AQ128" s="9" t="s">
        <v>59</v>
      </c>
      <c r="AR128" s="25"/>
      <c r="AS128" s="25"/>
      <c r="AT128" s="25"/>
    </row>
    <row r="129" spans="1:46" s="9" customFormat="1" ht="13.75" customHeight="1">
      <c r="A129" s="28" t="s">
        <v>813</v>
      </c>
      <c r="B129" s="28" t="s">
        <v>814</v>
      </c>
      <c r="C129" s="28" t="s">
        <v>815</v>
      </c>
      <c r="D129" s="28" t="s">
        <v>816</v>
      </c>
      <c r="E129" s="28" t="s">
        <v>817</v>
      </c>
      <c r="F129" s="28">
        <v>2022</v>
      </c>
      <c r="G129" s="77" t="s">
        <v>1177</v>
      </c>
      <c r="H129" s="34" t="s">
        <v>117</v>
      </c>
      <c r="I129" s="34" t="s">
        <v>818</v>
      </c>
      <c r="J129" s="25">
        <v>1</v>
      </c>
      <c r="K129" s="25">
        <v>0</v>
      </c>
      <c r="L129" s="25">
        <v>0</v>
      </c>
      <c r="M129" s="25">
        <v>1</v>
      </c>
      <c r="N129" s="25">
        <v>1</v>
      </c>
      <c r="O129" s="25">
        <v>0</v>
      </c>
      <c r="P129" s="25">
        <v>0</v>
      </c>
      <c r="Q129" s="82" t="s">
        <v>59</v>
      </c>
      <c r="R129" s="25" t="s">
        <v>59</v>
      </c>
      <c r="S129" s="25" t="s">
        <v>59</v>
      </c>
      <c r="T129" s="25">
        <v>0</v>
      </c>
      <c r="U129" s="25">
        <v>0</v>
      </c>
      <c r="V129" s="25">
        <v>0</v>
      </c>
      <c r="W129" s="25">
        <v>0</v>
      </c>
      <c r="X129" s="25">
        <v>0</v>
      </c>
      <c r="Y129" s="25">
        <v>0</v>
      </c>
      <c r="Z129" s="25">
        <v>0</v>
      </c>
      <c r="AA129" s="25">
        <v>0</v>
      </c>
      <c r="AB129" s="25">
        <v>0</v>
      </c>
      <c r="AC129" s="25">
        <v>0</v>
      </c>
      <c r="AD129" s="25">
        <v>0</v>
      </c>
      <c r="AE129" s="25" t="s">
        <v>59</v>
      </c>
      <c r="AF129" s="25" t="s">
        <v>59</v>
      </c>
      <c r="AG129" s="25" t="s">
        <v>59</v>
      </c>
      <c r="AH129" s="25" t="s">
        <v>59</v>
      </c>
      <c r="AI129" s="25">
        <v>0</v>
      </c>
      <c r="AJ129" s="25">
        <v>0</v>
      </c>
      <c r="AK129" s="9">
        <v>1</v>
      </c>
      <c r="AL129" s="25">
        <v>0</v>
      </c>
      <c r="AM129" s="25">
        <v>1</v>
      </c>
      <c r="AN129" s="25">
        <v>0</v>
      </c>
      <c r="AO129" s="9" t="s">
        <v>59</v>
      </c>
      <c r="AP129" s="9" t="s">
        <v>59</v>
      </c>
      <c r="AQ129" s="9" t="s">
        <v>59</v>
      </c>
      <c r="AR129" s="25"/>
      <c r="AS129" s="25"/>
      <c r="AT129" s="25"/>
    </row>
    <row r="130" spans="1:46" s="9" customFormat="1" ht="13.75" customHeight="1">
      <c r="A130" s="28" t="s">
        <v>819</v>
      </c>
      <c r="B130" s="28" t="s">
        <v>820</v>
      </c>
      <c r="C130" s="28" t="s">
        <v>228</v>
      </c>
      <c r="D130" s="28" t="s">
        <v>821</v>
      </c>
      <c r="E130" s="28" t="s">
        <v>822</v>
      </c>
      <c r="F130" s="28">
        <v>2022</v>
      </c>
      <c r="G130" s="77" t="s">
        <v>1178</v>
      </c>
      <c r="H130" s="34" t="s">
        <v>105</v>
      </c>
      <c r="I130" s="34" t="s">
        <v>823</v>
      </c>
      <c r="J130" s="25">
        <v>1</v>
      </c>
      <c r="K130" s="25">
        <v>0</v>
      </c>
      <c r="L130" s="25">
        <v>1</v>
      </c>
      <c r="M130" s="25">
        <v>1</v>
      </c>
      <c r="N130" s="25">
        <v>0</v>
      </c>
      <c r="O130" s="25">
        <v>1</v>
      </c>
      <c r="P130" s="25">
        <v>0</v>
      </c>
      <c r="Q130" s="82" t="s">
        <v>59</v>
      </c>
      <c r="R130" s="25" t="s">
        <v>59</v>
      </c>
      <c r="S130" s="25" t="s">
        <v>59</v>
      </c>
      <c r="T130" s="25">
        <v>0</v>
      </c>
      <c r="U130" s="25">
        <v>0</v>
      </c>
      <c r="V130" s="25">
        <v>0</v>
      </c>
      <c r="W130" s="25">
        <v>0</v>
      </c>
      <c r="X130" s="25">
        <v>0</v>
      </c>
      <c r="Y130" s="25">
        <v>0</v>
      </c>
      <c r="Z130" s="25">
        <v>0</v>
      </c>
      <c r="AA130" s="25">
        <v>0</v>
      </c>
      <c r="AB130" s="25">
        <v>1</v>
      </c>
      <c r="AC130" s="25">
        <v>0</v>
      </c>
      <c r="AD130" s="25">
        <v>0</v>
      </c>
      <c r="AE130" s="25">
        <v>0</v>
      </c>
      <c r="AF130" s="25" t="s">
        <v>59</v>
      </c>
      <c r="AG130" s="25" t="s">
        <v>59</v>
      </c>
      <c r="AH130" s="25" t="s">
        <v>59</v>
      </c>
      <c r="AI130" s="25" t="s">
        <v>59</v>
      </c>
      <c r="AJ130" s="25">
        <v>0</v>
      </c>
      <c r="AK130" s="9">
        <v>1</v>
      </c>
      <c r="AL130" s="25">
        <v>0</v>
      </c>
      <c r="AM130" s="25">
        <v>1</v>
      </c>
      <c r="AN130" s="25">
        <v>0</v>
      </c>
      <c r="AO130" s="9" t="s">
        <v>59</v>
      </c>
      <c r="AP130" s="9" t="s">
        <v>59</v>
      </c>
      <c r="AQ130" s="9" t="s">
        <v>59</v>
      </c>
      <c r="AR130" s="25"/>
      <c r="AS130" s="25"/>
      <c r="AT130" s="25"/>
    </row>
    <row r="131" spans="1:46" s="9" customFormat="1" ht="13.75" customHeight="1">
      <c r="A131" s="28" t="s">
        <v>824</v>
      </c>
      <c r="B131" s="28" t="s">
        <v>825</v>
      </c>
      <c r="C131" s="28" t="s">
        <v>579</v>
      </c>
      <c r="D131" s="28" t="s">
        <v>826</v>
      </c>
      <c r="E131" s="28" t="s">
        <v>827</v>
      </c>
      <c r="F131" s="28">
        <v>2022</v>
      </c>
      <c r="G131" s="77" t="s">
        <v>1179</v>
      </c>
      <c r="H131" s="34" t="s">
        <v>124</v>
      </c>
      <c r="I131" s="34" t="s">
        <v>828</v>
      </c>
      <c r="J131" s="25">
        <v>1</v>
      </c>
      <c r="K131" s="25">
        <v>0</v>
      </c>
      <c r="L131" s="25">
        <v>0</v>
      </c>
      <c r="M131" s="25">
        <v>1</v>
      </c>
      <c r="N131" s="25">
        <v>1</v>
      </c>
      <c r="O131" s="25">
        <v>0</v>
      </c>
      <c r="P131" s="25">
        <v>0</v>
      </c>
      <c r="Q131" s="82">
        <v>0</v>
      </c>
      <c r="R131" s="25">
        <v>0</v>
      </c>
      <c r="S131" s="25">
        <v>1</v>
      </c>
      <c r="T131" s="25">
        <v>0</v>
      </c>
      <c r="U131" s="25">
        <v>0</v>
      </c>
      <c r="V131" s="25">
        <v>0</v>
      </c>
      <c r="W131" s="25">
        <v>0</v>
      </c>
      <c r="X131" s="25">
        <v>0</v>
      </c>
      <c r="Y131" s="25">
        <v>0</v>
      </c>
      <c r="Z131" s="25">
        <v>0</v>
      </c>
      <c r="AA131" s="25">
        <v>0</v>
      </c>
      <c r="AB131" s="25">
        <v>1</v>
      </c>
      <c r="AC131" s="25">
        <v>0</v>
      </c>
      <c r="AD131" s="25">
        <v>0</v>
      </c>
      <c r="AE131" s="25">
        <v>0</v>
      </c>
      <c r="AF131" s="25" t="s">
        <v>59</v>
      </c>
      <c r="AG131" s="25" t="s">
        <v>59</v>
      </c>
      <c r="AH131" s="25" t="s">
        <v>59</v>
      </c>
      <c r="AI131" s="25" t="s">
        <v>59</v>
      </c>
      <c r="AJ131" s="25">
        <v>0</v>
      </c>
      <c r="AK131" s="9">
        <v>1</v>
      </c>
      <c r="AL131" s="25">
        <v>0</v>
      </c>
      <c r="AM131" s="25">
        <v>1</v>
      </c>
      <c r="AN131" s="25">
        <v>0</v>
      </c>
      <c r="AO131" s="9" t="s">
        <v>59</v>
      </c>
      <c r="AP131" s="9" t="s">
        <v>59</v>
      </c>
      <c r="AQ131" s="9" t="s">
        <v>59</v>
      </c>
      <c r="AR131" s="25"/>
      <c r="AS131" s="25"/>
      <c r="AT131" s="25"/>
    </row>
    <row r="132" spans="1:46" s="9" customFormat="1" ht="13.75" customHeight="1">
      <c r="A132" s="28" t="s">
        <v>829</v>
      </c>
      <c r="B132" s="28" t="s">
        <v>830</v>
      </c>
      <c r="C132" s="28" t="s">
        <v>579</v>
      </c>
      <c r="D132" s="28" t="s">
        <v>831</v>
      </c>
      <c r="E132" s="28" t="s">
        <v>832</v>
      </c>
      <c r="F132" s="28">
        <v>2022</v>
      </c>
      <c r="G132" s="77" t="s">
        <v>1180</v>
      </c>
      <c r="H132" s="34" t="s">
        <v>124</v>
      </c>
      <c r="I132" s="34" t="s">
        <v>833</v>
      </c>
      <c r="J132" s="25">
        <v>1</v>
      </c>
      <c r="K132" s="25">
        <v>0</v>
      </c>
      <c r="L132" s="25">
        <v>0</v>
      </c>
      <c r="M132" s="25">
        <v>1</v>
      </c>
      <c r="N132" s="25" t="s">
        <v>59</v>
      </c>
      <c r="O132" s="25" t="s">
        <v>59</v>
      </c>
      <c r="P132" s="25" t="s">
        <v>59</v>
      </c>
      <c r="Q132" s="82" t="s">
        <v>59</v>
      </c>
      <c r="R132" s="25" t="s">
        <v>59</v>
      </c>
      <c r="S132" s="25" t="s">
        <v>59</v>
      </c>
      <c r="T132" s="25">
        <v>0</v>
      </c>
      <c r="U132" s="25">
        <v>0</v>
      </c>
      <c r="V132" s="25">
        <v>0</v>
      </c>
      <c r="W132" s="25">
        <v>0</v>
      </c>
      <c r="X132" s="25">
        <v>0</v>
      </c>
      <c r="Y132" s="25">
        <v>0</v>
      </c>
      <c r="Z132" s="25">
        <v>0</v>
      </c>
      <c r="AA132" s="25">
        <v>0</v>
      </c>
      <c r="AB132" s="25">
        <v>1</v>
      </c>
      <c r="AC132" s="25">
        <v>0</v>
      </c>
      <c r="AD132" s="25">
        <v>0</v>
      </c>
      <c r="AE132" s="25">
        <v>0</v>
      </c>
      <c r="AF132" s="25">
        <v>0</v>
      </c>
      <c r="AG132" s="25">
        <v>1</v>
      </c>
      <c r="AH132" s="25">
        <v>0</v>
      </c>
      <c r="AI132" s="25">
        <v>1</v>
      </c>
      <c r="AJ132" s="25">
        <v>0</v>
      </c>
      <c r="AK132" s="9">
        <v>1</v>
      </c>
      <c r="AL132" s="25">
        <v>0</v>
      </c>
      <c r="AM132" s="25">
        <v>1</v>
      </c>
      <c r="AN132" s="25">
        <v>0</v>
      </c>
      <c r="AO132" s="9" t="s">
        <v>59</v>
      </c>
      <c r="AP132" s="9" t="s">
        <v>59</v>
      </c>
      <c r="AQ132" s="9" t="s">
        <v>59</v>
      </c>
      <c r="AR132" s="25"/>
      <c r="AS132" s="25"/>
      <c r="AT132" s="25"/>
    </row>
    <row r="133" spans="1:46" s="9" customFormat="1" ht="13.75" customHeight="1">
      <c r="A133" s="28" t="s">
        <v>834</v>
      </c>
      <c r="B133" s="28" t="s">
        <v>835</v>
      </c>
      <c r="C133" s="28" t="s">
        <v>120</v>
      </c>
      <c r="D133" s="28" t="s">
        <v>836</v>
      </c>
      <c r="E133" s="28" t="s">
        <v>837</v>
      </c>
      <c r="F133" s="28">
        <v>2022</v>
      </c>
      <c r="G133" s="77" t="s">
        <v>1181</v>
      </c>
      <c r="H133" s="34" t="s">
        <v>124</v>
      </c>
      <c r="I133" s="34" t="s">
        <v>838</v>
      </c>
      <c r="J133" s="25">
        <v>1</v>
      </c>
      <c r="K133" s="25">
        <v>0</v>
      </c>
      <c r="L133" s="25">
        <v>0</v>
      </c>
      <c r="M133" s="25">
        <v>1</v>
      </c>
      <c r="N133" s="25">
        <v>1</v>
      </c>
      <c r="O133" s="25">
        <v>1</v>
      </c>
      <c r="P133" s="25">
        <v>0</v>
      </c>
      <c r="Q133" s="82" t="s">
        <v>59</v>
      </c>
      <c r="R133" s="25" t="s">
        <v>59</v>
      </c>
      <c r="S133" s="25" t="s">
        <v>59</v>
      </c>
      <c r="T133" s="25">
        <v>0</v>
      </c>
      <c r="U133" s="25">
        <v>0</v>
      </c>
      <c r="V133" s="25">
        <v>0</v>
      </c>
      <c r="W133" s="25">
        <v>0</v>
      </c>
      <c r="X133" s="25">
        <v>0</v>
      </c>
      <c r="Y133" s="25">
        <v>0</v>
      </c>
      <c r="Z133" s="25">
        <v>0</v>
      </c>
      <c r="AA133" s="25">
        <v>0</v>
      </c>
      <c r="AB133" s="25">
        <v>0</v>
      </c>
      <c r="AC133" s="25">
        <v>0</v>
      </c>
      <c r="AD133" s="25">
        <v>0</v>
      </c>
      <c r="AE133" s="25">
        <v>1</v>
      </c>
      <c r="AF133" s="25">
        <v>1</v>
      </c>
      <c r="AG133" s="25">
        <v>0</v>
      </c>
      <c r="AH133" s="25">
        <v>0</v>
      </c>
      <c r="AI133" s="25">
        <v>0</v>
      </c>
      <c r="AJ133" s="25">
        <v>0</v>
      </c>
      <c r="AK133" s="9">
        <v>1</v>
      </c>
      <c r="AL133" s="25">
        <v>0</v>
      </c>
      <c r="AM133" s="25">
        <v>1</v>
      </c>
      <c r="AN133" s="25">
        <v>0</v>
      </c>
      <c r="AO133" s="9" t="s">
        <v>59</v>
      </c>
      <c r="AP133" s="9" t="s">
        <v>59</v>
      </c>
      <c r="AQ133" s="9" t="s">
        <v>59</v>
      </c>
      <c r="AR133" s="25"/>
      <c r="AS133" s="25"/>
      <c r="AT133" s="25"/>
    </row>
    <row r="134" spans="1:46" s="9" customFormat="1" ht="13.75" customHeight="1">
      <c r="A134" s="28" t="s">
        <v>839</v>
      </c>
      <c r="B134" s="28" t="s">
        <v>840</v>
      </c>
      <c r="C134" s="28" t="s">
        <v>196</v>
      </c>
      <c r="D134" s="28"/>
      <c r="E134" s="28" t="s">
        <v>841</v>
      </c>
      <c r="F134" s="28">
        <v>2022</v>
      </c>
      <c r="G134" s="77" t="s">
        <v>1182</v>
      </c>
      <c r="H134" s="34" t="s">
        <v>124</v>
      </c>
      <c r="I134" s="34" t="s">
        <v>842</v>
      </c>
      <c r="J134" s="25">
        <v>1</v>
      </c>
      <c r="K134" s="25">
        <v>0</v>
      </c>
      <c r="L134" s="25">
        <v>1</v>
      </c>
      <c r="M134" s="25">
        <v>1</v>
      </c>
      <c r="N134" s="25">
        <v>0</v>
      </c>
      <c r="O134" s="25">
        <v>0</v>
      </c>
      <c r="P134" s="25">
        <v>1</v>
      </c>
      <c r="Q134" s="82">
        <v>1</v>
      </c>
      <c r="R134" s="25">
        <v>0</v>
      </c>
      <c r="S134" s="25">
        <v>0</v>
      </c>
      <c r="T134" s="25">
        <v>0</v>
      </c>
      <c r="U134" s="25">
        <v>0</v>
      </c>
      <c r="V134" s="25">
        <v>0</v>
      </c>
      <c r="W134" s="25">
        <v>0</v>
      </c>
      <c r="X134" s="25">
        <v>0</v>
      </c>
      <c r="Y134" s="25">
        <v>0</v>
      </c>
      <c r="Z134" s="25">
        <v>0</v>
      </c>
      <c r="AA134" s="25">
        <v>0</v>
      </c>
      <c r="AB134" s="25">
        <v>0</v>
      </c>
      <c r="AC134" s="25">
        <v>0</v>
      </c>
      <c r="AD134" s="25">
        <v>0</v>
      </c>
      <c r="AE134" s="25">
        <v>1</v>
      </c>
      <c r="AF134" s="25" t="s">
        <v>59</v>
      </c>
      <c r="AG134" s="25" t="s">
        <v>59</v>
      </c>
      <c r="AH134" s="25" t="s">
        <v>59</v>
      </c>
      <c r="AI134" s="25" t="s">
        <v>59</v>
      </c>
      <c r="AJ134" s="25">
        <v>0</v>
      </c>
      <c r="AK134" s="9">
        <v>1</v>
      </c>
      <c r="AL134" s="25">
        <v>0</v>
      </c>
      <c r="AM134" s="25">
        <v>1</v>
      </c>
      <c r="AN134" s="25">
        <v>0</v>
      </c>
      <c r="AO134" s="9" t="s">
        <v>59</v>
      </c>
      <c r="AP134" s="9" t="s">
        <v>59</v>
      </c>
      <c r="AQ134" s="9" t="s">
        <v>59</v>
      </c>
      <c r="AR134" s="25"/>
      <c r="AS134" s="25"/>
      <c r="AT134" s="25"/>
    </row>
    <row r="135" spans="1:46" s="9" customFormat="1" ht="13.75" customHeight="1">
      <c r="A135" s="28" t="s">
        <v>843</v>
      </c>
      <c r="B135" s="28" t="s">
        <v>844</v>
      </c>
      <c r="C135" s="28" t="s">
        <v>446</v>
      </c>
      <c r="D135" s="28" t="s">
        <v>845</v>
      </c>
      <c r="E135" s="28" t="s">
        <v>846</v>
      </c>
      <c r="F135" s="28">
        <v>2022</v>
      </c>
      <c r="G135" s="77" t="s">
        <v>1183</v>
      </c>
      <c r="H135" s="34" t="s">
        <v>75</v>
      </c>
      <c r="I135" s="34" t="s">
        <v>847</v>
      </c>
      <c r="J135" s="25">
        <v>1</v>
      </c>
      <c r="K135" s="25">
        <v>0</v>
      </c>
      <c r="L135" s="25">
        <v>0</v>
      </c>
      <c r="M135" s="25">
        <v>1</v>
      </c>
      <c r="N135" s="25" t="s">
        <v>59</v>
      </c>
      <c r="O135" s="25" t="s">
        <v>59</v>
      </c>
      <c r="P135" s="25" t="s">
        <v>59</v>
      </c>
      <c r="Q135" s="82" t="s">
        <v>59</v>
      </c>
      <c r="R135" s="25" t="s">
        <v>59</v>
      </c>
      <c r="S135" s="25" t="s">
        <v>59</v>
      </c>
      <c r="T135" s="25">
        <v>1</v>
      </c>
      <c r="U135" s="25">
        <v>0</v>
      </c>
      <c r="V135" s="25">
        <v>0</v>
      </c>
      <c r="W135" s="25">
        <v>0</v>
      </c>
      <c r="X135" s="25">
        <v>0</v>
      </c>
      <c r="Y135" s="25">
        <v>0</v>
      </c>
      <c r="Z135" s="25">
        <v>1</v>
      </c>
      <c r="AA135" s="25">
        <v>0</v>
      </c>
      <c r="AB135" s="25">
        <v>1</v>
      </c>
      <c r="AC135" s="25"/>
      <c r="AD135" s="25">
        <v>1</v>
      </c>
      <c r="AE135" s="25">
        <v>0</v>
      </c>
      <c r="AF135" s="25">
        <v>0</v>
      </c>
      <c r="AG135" s="25">
        <v>1</v>
      </c>
      <c r="AH135" s="25">
        <v>0</v>
      </c>
      <c r="AI135" s="25">
        <v>1</v>
      </c>
      <c r="AJ135" s="25">
        <v>0</v>
      </c>
      <c r="AK135" s="9">
        <v>1</v>
      </c>
      <c r="AL135" s="25">
        <v>0</v>
      </c>
      <c r="AM135" s="25">
        <v>1</v>
      </c>
      <c r="AN135" s="25">
        <v>0</v>
      </c>
      <c r="AO135" s="9" t="s">
        <v>59</v>
      </c>
      <c r="AP135" s="9" t="s">
        <v>59</v>
      </c>
      <c r="AQ135" s="9" t="s">
        <v>59</v>
      </c>
      <c r="AR135" s="25"/>
      <c r="AS135" s="25"/>
      <c r="AT135" s="25"/>
    </row>
    <row r="136" spans="1:46" s="9" customFormat="1" ht="13.75" customHeight="1">
      <c r="A136" s="28" t="s">
        <v>848</v>
      </c>
      <c r="B136" s="28" t="s">
        <v>849</v>
      </c>
      <c r="C136" s="28" t="s">
        <v>850</v>
      </c>
      <c r="D136" s="28"/>
      <c r="E136" s="28" t="s">
        <v>851</v>
      </c>
      <c r="F136" s="28">
        <v>2022</v>
      </c>
      <c r="G136" s="77" t="s">
        <v>1184</v>
      </c>
      <c r="H136" s="34" t="s">
        <v>852</v>
      </c>
      <c r="I136" s="34" t="s">
        <v>853</v>
      </c>
      <c r="J136" s="25">
        <v>1</v>
      </c>
      <c r="K136" s="25">
        <v>0</v>
      </c>
      <c r="L136" s="25">
        <v>1</v>
      </c>
      <c r="M136" s="25">
        <v>1</v>
      </c>
      <c r="N136" s="25" t="s">
        <v>59</v>
      </c>
      <c r="O136" s="25" t="s">
        <v>59</v>
      </c>
      <c r="P136" s="25" t="s">
        <v>59</v>
      </c>
      <c r="Q136" s="82" t="s">
        <v>59</v>
      </c>
      <c r="R136" s="25" t="s">
        <v>59</v>
      </c>
      <c r="S136" s="25" t="s">
        <v>59</v>
      </c>
      <c r="T136" s="25">
        <v>0</v>
      </c>
      <c r="U136" s="25">
        <v>0</v>
      </c>
      <c r="V136" s="25">
        <v>0</v>
      </c>
      <c r="W136" s="25">
        <v>0</v>
      </c>
      <c r="X136" s="25">
        <v>0</v>
      </c>
      <c r="Y136" s="25">
        <v>0</v>
      </c>
      <c r="Z136" s="25">
        <v>0</v>
      </c>
      <c r="AA136" s="25">
        <v>0</v>
      </c>
      <c r="AB136" s="25">
        <v>1</v>
      </c>
      <c r="AC136" s="25">
        <v>0</v>
      </c>
      <c r="AD136" s="25">
        <v>0</v>
      </c>
      <c r="AE136" s="25">
        <v>0</v>
      </c>
      <c r="AF136" s="25">
        <v>1</v>
      </c>
      <c r="AG136" s="25">
        <v>0</v>
      </c>
      <c r="AH136" s="25">
        <v>0</v>
      </c>
      <c r="AI136" s="25">
        <v>0</v>
      </c>
      <c r="AJ136" s="25">
        <v>0</v>
      </c>
      <c r="AK136" s="9">
        <v>1</v>
      </c>
      <c r="AL136" s="25">
        <v>0</v>
      </c>
      <c r="AM136" s="25">
        <v>1</v>
      </c>
      <c r="AN136" s="25">
        <v>0</v>
      </c>
      <c r="AO136" s="9" t="s">
        <v>59</v>
      </c>
      <c r="AP136" s="9" t="s">
        <v>59</v>
      </c>
      <c r="AQ136" s="9" t="s">
        <v>59</v>
      </c>
      <c r="AR136" s="25"/>
      <c r="AS136" s="25"/>
      <c r="AT136" s="25"/>
    </row>
    <row r="137" spans="1:46" s="9" customFormat="1" ht="13.75" customHeight="1">
      <c r="A137" s="28" t="s">
        <v>854</v>
      </c>
      <c r="B137" s="28" t="s">
        <v>855</v>
      </c>
      <c r="C137" s="28" t="s">
        <v>856</v>
      </c>
      <c r="D137" s="28" t="s">
        <v>857</v>
      </c>
      <c r="E137" s="28" t="s">
        <v>858</v>
      </c>
      <c r="F137" s="28">
        <v>2022</v>
      </c>
      <c r="G137" s="77" t="s">
        <v>1185</v>
      </c>
      <c r="H137" s="34" t="s">
        <v>754</v>
      </c>
      <c r="I137" s="34" t="s">
        <v>859</v>
      </c>
      <c r="J137" s="25">
        <v>1</v>
      </c>
      <c r="K137" s="25">
        <v>0</v>
      </c>
      <c r="L137" s="25">
        <v>0</v>
      </c>
      <c r="M137" s="25">
        <v>1</v>
      </c>
      <c r="N137" s="25" t="s">
        <v>59</v>
      </c>
      <c r="O137" s="25" t="s">
        <v>59</v>
      </c>
      <c r="P137" s="25" t="s">
        <v>59</v>
      </c>
      <c r="Q137" s="82" t="s">
        <v>59</v>
      </c>
      <c r="R137" s="25" t="s">
        <v>59</v>
      </c>
      <c r="S137" s="25" t="s">
        <v>59</v>
      </c>
      <c r="T137" s="25">
        <v>0</v>
      </c>
      <c r="U137" s="25">
        <v>0</v>
      </c>
      <c r="V137" s="25">
        <v>0</v>
      </c>
      <c r="W137" s="25">
        <v>0</v>
      </c>
      <c r="X137" s="25">
        <v>0</v>
      </c>
      <c r="Y137" s="25">
        <v>0</v>
      </c>
      <c r="Z137" s="25">
        <v>0</v>
      </c>
      <c r="AA137" s="25">
        <v>0</v>
      </c>
      <c r="AB137" s="25">
        <v>0</v>
      </c>
      <c r="AC137" s="25">
        <v>0</v>
      </c>
      <c r="AD137" s="25">
        <v>0</v>
      </c>
      <c r="AE137" s="25">
        <v>1</v>
      </c>
      <c r="AF137" s="25" t="s">
        <v>59</v>
      </c>
      <c r="AG137" s="25" t="s">
        <v>59</v>
      </c>
      <c r="AH137" s="25" t="s">
        <v>59</v>
      </c>
      <c r="AI137" s="25" t="s">
        <v>59</v>
      </c>
      <c r="AJ137" s="25">
        <v>0</v>
      </c>
      <c r="AK137" s="9">
        <v>1</v>
      </c>
      <c r="AL137" s="25">
        <v>0</v>
      </c>
      <c r="AM137" s="25">
        <v>1</v>
      </c>
      <c r="AN137" s="25">
        <v>0</v>
      </c>
      <c r="AO137" s="9" t="s">
        <v>59</v>
      </c>
      <c r="AP137" s="9" t="s">
        <v>59</v>
      </c>
      <c r="AQ137" s="9" t="s">
        <v>59</v>
      </c>
      <c r="AR137" s="25"/>
      <c r="AS137" s="25"/>
      <c r="AT137" s="25"/>
    </row>
    <row r="138" spans="1:46" s="9" customFormat="1" ht="13.75" customHeight="1">
      <c r="A138" s="28" t="s">
        <v>860</v>
      </c>
      <c r="B138" s="28" t="s">
        <v>861</v>
      </c>
      <c r="C138" s="28" t="s">
        <v>862</v>
      </c>
      <c r="D138" s="28"/>
      <c r="E138" s="28" t="s">
        <v>863</v>
      </c>
      <c r="F138" s="28">
        <v>2022</v>
      </c>
      <c r="G138" s="77" t="s">
        <v>1186</v>
      </c>
      <c r="H138" s="34" t="s">
        <v>402</v>
      </c>
      <c r="I138" s="34" t="s">
        <v>864</v>
      </c>
      <c r="J138" s="25">
        <v>1</v>
      </c>
      <c r="K138" s="25">
        <v>0</v>
      </c>
      <c r="L138" s="25">
        <v>0</v>
      </c>
      <c r="M138" s="25">
        <v>1</v>
      </c>
      <c r="N138" s="25">
        <v>1</v>
      </c>
      <c r="O138" s="25">
        <v>0</v>
      </c>
      <c r="P138" s="25">
        <v>0</v>
      </c>
      <c r="Q138" s="82" t="s">
        <v>59</v>
      </c>
      <c r="R138" s="25" t="s">
        <v>59</v>
      </c>
      <c r="S138" s="25" t="s">
        <v>59</v>
      </c>
      <c r="T138" s="25">
        <v>0</v>
      </c>
      <c r="U138" s="25">
        <v>0</v>
      </c>
      <c r="V138" s="25">
        <v>0</v>
      </c>
      <c r="W138" s="25">
        <v>0</v>
      </c>
      <c r="X138" s="25">
        <v>0</v>
      </c>
      <c r="Y138" s="25">
        <v>0</v>
      </c>
      <c r="Z138" s="25">
        <v>0</v>
      </c>
      <c r="AA138" s="25">
        <v>0</v>
      </c>
      <c r="AB138" s="25">
        <v>0</v>
      </c>
      <c r="AC138" s="25">
        <v>0</v>
      </c>
      <c r="AD138" s="25">
        <v>0</v>
      </c>
      <c r="AE138" s="25">
        <v>1</v>
      </c>
      <c r="AF138" s="25">
        <v>0</v>
      </c>
      <c r="AG138" s="25">
        <v>1</v>
      </c>
      <c r="AH138" s="25">
        <v>1</v>
      </c>
      <c r="AI138" s="25">
        <v>0</v>
      </c>
      <c r="AJ138" s="25">
        <v>0</v>
      </c>
      <c r="AK138" s="9">
        <v>1</v>
      </c>
      <c r="AL138" s="25">
        <v>0</v>
      </c>
      <c r="AM138" s="25">
        <v>1</v>
      </c>
      <c r="AN138" s="25">
        <v>0</v>
      </c>
      <c r="AO138" s="9" t="s">
        <v>59</v>
      </c>
      <c r="AP138" s="9" t="s">
        <v>59</v>
      </c>
      <c r="AQ138" s="9" t="s">
        <v>59</v>
      </c>
      <c r="AR138" s="25"/>
      <c r="AS138" s="25"/>
      <c r="AT138" s="25"/>
    </row>
    <row r="139" spans="1:46" s="9" customFormat="1" ht="13.75" customHeight="1">
      <c r="A139" s="28" t="s">
        <v>865</v>
      </c>
      <c r="B139" s="28" t="s">
        <v>866</v>
      </c>
      <c r="C139" s="28" t="s">
        <v>867</v>
      </c>
      <c r="D139" s="28" t="s">
        <v>868</v>
      </c>
      <c r="E139" s="28" t="s">
        <v>869</v>
      </c>
      <c r="F139" s="28">
        <v>2022</v>
      </c>
      <c r="G139" s="77" t="s">
        <v>1187</v>
      </c>
      <c r="H139" s="34" t="s">
        <v>75</v>
      </c>
      <c r="I139" s="34" t="s">
        <v>870</v>
      </c>
      <c r="J139" s="25">
        <v>1</v>
      </c>
      <c r="K139" s="25">
        <v>0</v>
      </c>
      <c r="L139" s="25">
        <v>0</v>
      </c>
      <c r="M139" s="25">
        <v>1</v>
      </c>
      <c r="N139" s="25">
        <v>1</v>
      </c>
      <c r="O139" s="25">
        <v>0</v>
      </c>
      <c r="P139" s="25">
        <v>0</v>
      </c>
      <c r="Q139" s="82">
        <v>1</v>
      </c>
      <c r="R139" s="25">
        <v>0</v>
      </c>
      <c r="S139" s="25">
        <v>1</v>
      </c>
      <c r="T139" s="25">
        <v>1</v>
      </c>
      <c r="U139" s="25">
        <v>0</v>
      </c>
      <c r="V139" s="25">
        <v>0</v>
      </c>
      <c r="W139" s="25">
        <v>0</v>
      </c>
      <c r="X139" s="25">
        <v>0</v>
      </c>
      <c r="Y139" s="25">
        <v>0</v>
      </c>
      <c r="Z139" s="25">
        <v>0</v>
      </c>
      <c r="AA139" s="25">
        <v>0</v>
      </c>
      <c r="AB139" s="25">
        <v>1</v>
      </c>
      <c r="AC139" s="25">
        <v>0</v>
      </c>
      <c r="AD139" s="25">
        <v>0</v>
      </c>
      <c r="AE139" s="25">
        <v>0</v>
      </c>
      <c r="AF139" s="25">
        <v>1</v>
      </c>
      <c r="AG139" s="25">
        <v>1</v>
      </c>
      <c r="AH139" s="25">
        <v>1</v>
      </c>
      <c r="AI139" s="25">
        <v>0</v>
      </c>
      <c r="AJ139" s="25">
        <v>0</v>
      </c>
      <c r="AK139" s="9">
        <v>1</v>
      </c>
      <c r="AL139" s="25">
        <v>0</v>
      </c>
      <c r="AM139" s="25">
        <v>1</v>
      </c>
      <c r="AN139" s="25">
        <v>0</v>
      </c>
      <c r="AO139" s="9" t="s">
        <v>59</v>
      </c>
      <c r="AP139" s="9" t="s">
        <v>59</v>
      </c>
      <c r="AQ139" s="9" t="s">
        <v>59</v>
      </c>
      <c r="AR139" s="25"/>
      <c r="AS139" s="25"/>
      <c r="AT139" s="25"/>
    </row>
    <row r="140" spans="1:46" s="9" customFormat="1" ht="13.75" customHeight="1">
      <c r="A140" s="28" t="s">
        <v>871</v>
      </c>
      <c r="B140" s="28" t="s">
        <v>872</v>
      </c>
      <c r="C140" s="28" t="s">
        <v>423</v>
      </c>
      <c r="D140" s="28"/>
      <c r="E140" s="28" t="s">
        <v>873</v>
      </c>
      <c r="F140" s="28">
        <v>2022</v>
      </c>
      <c r="G140" s="77" t="s">
        <v>1188</v>
      </c>
      <c r="H140" s="34" t="s">
        <v>183</v>
      </c>
      <c r="I140" s="34" t="s">
        <v>874</v>
      </c>
      <c r="J140" s="25">
        <v>1</v>
      </c>
      <c r="K140" s="25">
        <v>0</v>
      </c>
      <c r="L140" s="25">
        <v>0</v>
      </c>
      <c r="M140" s="25">
        <v>1</v>
      </c>
      <c r="N140" s="25">
        <v>1</v>
      </c>
      <c r="O140" s="25">
        <v>0</v>
      </c>
      <c r="P140" s="25">
        <v>0</v>
      </c>
      <c r="Q140" s="82" t="s">
        <v>59</v>
      </c>
      <c r="R140" s="25" t="s">
        <v>59</v>
      </c>
      <c r="S140" s="25" t="s">
        <v>59</v>
      </c>
      <c r="T140" s="25">
        <v>1</v>
      </c>
      <c r="U140" s="25">
        <v>0</v>
      </c>
      <c r="V140" s="25">
        <v>0</v>
      </c>
      <c r="W140" s="25">
        <v>0</v>
      </c>
      <c r="X140" s="25">
        <v>0</v>
      </c>
      <c r="Y140" s="25">
        <v>0</v>
      </c>
      <c r="Z140" s="25">
        <v>0</v>
      </c>
      <c r="AA140" s="25">
        <v>0</v>
      </c>
      <c r="AB140" s="25">
        <v>1</v>
      </c>
      <c r="AC140" s="25">
        <v>0</v>
      </c>
      <c r="AD140" s="25">
        <v>0</v>
      </c>
      <c r="AE140" s="25">
        <v>1</v>
      </c>
      <c r="AF140" s="25">
        <v>1</v>
      </c>
      <c r="AG140" s="25">
        <v>1</v>
      </c>
      <c r="AH140" s="25">
        <v>1</v>
      </c>
      <c r="AI140" s="25">
        <v>0</v>
      </c>
      <c r="AJ140" s="25">
        <v>0</v>
      </c>
      <c r="AK140" s="9">
        <v>1</v>
      </c>
      <c r="AL140" s="25">
        <v>0</v>
      </c>
      <c r="AM140" s="25">
        <v>1</v>
      </c>
      <c r="AN140" s="25">
        <v>0</v>
      </c>
      <c r="AO140" s="9" t="s">
        <v>59</v>
      </c>
      <c r="AP140" s="9" t="s">
        <v>59</v>
      </c>
      <c r="AQ140" s="9" t="s">
        <v>59</v>
      </c>
      <c r="AR140" s="25"/>
      <c r="AS140" s="25"/>
      <c r="AT140" s="25"/>
    </row>
    <row r="141" spans="1:46" s="9" customFormat="1" ht="13.75" customHeight="1">
      <c r="A141" s="28" t="s">
        <v>875</v>
      </c>
      <c r="B141" s="28" t="s">
        <v>876</v>
      </c>
      <c r="C141" s="28" t="s">
        <v>162</v>
      </c>
      <c r="D141" s="28" t="s">
        <v>877</v>
      </c>
      <c r="E141" s="28" t="s">
        <v>878</v>
      </c>
      <c r="F141" s="28">
        <v>2022</v>
      </c>
      <c r="G141" s="77" t="s">
        <v>1189</v>
      </c>
      <c r="H141" s="34" t="s">
        <v>124</v>
      </c>
      <c r="I141" s="34" t="s">
        <v>879</v>
      </c>
      <c r="J141" s="25">
        <v>1</v>
      </c>
      <c r="K141" s="25">
        <v>0</v>
      </c>
      <c r="L141" s="25">
        <v>0</v>
      </c>
      <c r="M141" s="25">
        <v>1</v>
      </c>
      <c r="N141" s="25">
        <v>1</v>
      </c>
      <c r="O141" s="25">
        <v>1</v>
      </c>
      <c r="P141" s="25">
        <v>0</v>
      </c>
      <c r="Q141" s="82" t="s">
        <v>59</v>
      </c>
      <c r="R141" s="25" t="s">
        <v>59</v>
      </c>
      <c r="S141" s="25" t="s">
        <v>59</v>
      </c>
      <c r="T141" s="25">
        <v>0</v>
      </c>
      <c r="U141" s="25">
        <v>0</v>
      </c>
      <c r="V141" s="25">
        <v>0</v>
      </c>
      <c r="W141" s="25">
        <v>0</v>
      </c>
      <c r="X141" s="25">
        <v>0</v>
      </c>
      <c r="Y141" s="25">
        <v>0</v>
      </c>
      <c r="Z141" s="25">
        <v>0</v>
      </c>
      <c r="AA141" s="25">
        <v>0</v>
      </c>
      <c r="AB141" s="25">
        <v>1</v>
      </c>
      <c r="AC141" s="25">
        <v>0</v>
      </c>
      <c r="AD141" s="25">
        <v>0</v>
      </c>
      <c r="AE141" s="25">
        <v>0</v>
      </c>
      <c r="AF141" s="25">
        <v>1</v>
      </c>
      <c r="AG141" s="25">
        <v>1</v>
      </c>
      <c r="AH141" s="25">
        <v>1</v>
      </c>
      <c r="AI141" s="25">
        <v>0</v>
      </c>
      <c r="AJ141" s="25">
        <v>0</v>
      </c>
      <c r="AK141" s="9">
        <v>1</v>
      </c>
      <c r="AL141" s="25">
        <v>0</v>
      </c>
      <c r="AM141" s="25">
        <v>1</v>
      </c>
      <c r="AN141" s="25">
        <v>0</v>
      </c>
      <c r="AO141" s="9" t="s">
        <v>59</v>
      </c>
      <c r="AP141" s="9" t="s">
        <v>59</v>
      </c>
      <c r="AQ141" s="9" t="s">
        <v>59</v>
      </c>
      <c r="AR141" s="25"/>
      <c r="AS141" s="25"/>
      <c r="AT141" s="25"/>
    </row>
    <row r="142" spans="1:46" s="9" customFormat="1" ht="13.75" customHeight="1">
      <c r="A142" s="28" t="s">
        <v>880</v>
      </c>
      <c r="B142" s="28" t="s">
        <v>881</v>
      </c>
      <c r="C142" s="28" t="s">
        <v>579</v>
      </c>
      <c r="D142" s="28" t="s">
        <v>882</v>
      </c>
      <c r="E142" s="28" t="s">
        <v>883</v>
      </c>
      <c r="F142" s="28">
        <v>2022</v>
      </c>
      <c r="G142" s="77" t="s">
        <v>1190</v>
      </c>
      <c r="H142" s="34" t="s">
        <v>124</v>
      </c>
      <c r="I142" s="34" t="s">
        <v>884</v>
      </c>
      <c r="J142" s="25">
        <v>1</v>
      </c>
      <c r="K142" s="25">
        <v>0</v>
      </c>
      <c r="L142" s="25">
        <v>0</v>
      </c>
      <c r="M142" s="25">
        <v>1</v>
      </c>
      <c r="N142" s="25">
        <v>1</v>
      </c>
      <c r="O142" s="25">
        <v>0</v>
      </c>
      <c r="P142" s="25">
        <v>1</v>
      </c>
      <c r="Q142" s="82">
        <v>1</v>
      </c>
      <c r="R142" s="25">
        <v>1</v>
      </c>
      <c r="S142" s="25">
        <v>1</v>
      </c>
      <c r="T142" s="25">
        <v>0</v>
      </c>
      <c r="U142" s="25">
        <v>0</v>
      </c>
      <c r="V142" s="25">
        <v>0</v>
      </c>
      <c r="W142" s="25">
        <v>0</v>
      </c>
      <c r="X142" s="25">
        <v>0</v>
      </c>
      <c r="Y142" s="25">
        <v>0</v>
      </c>
      <c r="Z142" s="25">
        <v>0</v>
      </c>
      <c r="AA142" s="25">
        <v>0</v>
      </c>
      <c r="AB142" s="25">
        <v>1</v>
      </c>
      <c r="AC142" s="25">
        <v>0</v>
      </c>
      <c r="AD142" s="25">
        <v>0</v>
      </c>
      <c r="AE142" s="25">
        <v>1</v>
      </c>
      <c r="AF142" s="25">
        <v>1</v>
      </c>
      <c r="AG142" s="25">
        <v>0</v>
      </c>
      <c r="AH142" s="25">
        <v>0</v>
      </c>
      <c r="AI142" s="25">
        <v>0</v>
      </c>
      <c r="AJ142" s="25">
        <v>0</v>
      </c>
      <c r="AK142" s="9">
        <v>1</v>
      </c>
      <c r="AL142" s="25">
        <v>0</v>
      </c>
      <c r="AM142" s="25">
        <v>1</v>
      </c>
      <c r="AN142" s="25">
        <v>0</v>
      </c>
      <c r="AO142" s="9" t="s">
        <v>59</v>
      </c>
      <c r="AP142" s="9" t="s">
        <v>59</v>
      </c>
      <c r="AQ142" s="9" t="s">
        <v>59</v>
      </c>
      <c r="AR142" s="25"/>
      <c r="AS142" s="25"/>
      <c r="AT142" s="25"/>
    </row>
    <row r="143" spans="1:46" s="9" customFormat="1" ht="13.75" customHeight="1">
      <c r="A143" s="28" t="s">
        <v>885</v>
      </c>
      <c r="B143" s="35" t="s">
        <v>1191</v>
      </c>
      <c r="C143" s="28" t="s">
        <v>579</v>
      </c>
      <c r="D143" s="28" t="s">
        <v>886</v>
      </c>
      <c r="E143" s="28" t="s">
        <v>887</v>
      </c>
      <c r="F143" s="28">
        <v>2022</v>
      </c>
      <c r="G143" s="77" t="s">
        <v>1192</v>
      </c>
      <c r="H143" s="34" t="s">
        <v>124</v>
      </c>
      <c r="I143" s="34" t="s">
        <v>888</v>
      </c>
      <c r="J143" s="25">
        <v>1</v>
      </c>
      <c r="K143" s="25">
        <v>0</v>
      </c>
      <c r="L143" s="25">
        <v>0</v>
      </c>
      <c r="M143" s="25">
        <v>1</v>
      </c>
      <c r="N143" s="25">
        <v>1</v>
      </c>
      <c r="O143" s="25">
        <v>0</v>
      </c>
      <c r="P143" s="25">
        <v>0</v>
      </c>
      <c r="Q143" s="82" t="s">
        <v>59</v>
      </c>
      <c r="R143" s="25" t="s">
        <v>59</v>
      </c>
      <c r="S143" s="25" t="s">
        <v>59</v>
      </c>
      <c r="T143" s="25">
        <v>0</v>
      </c>
      <c r="U143" s="25">
        <v>0</v>
      </c>
      <c r="V143" s="25">
        <v>0</v>
      </c>
      <c r="W143" s="25">
        <v>0</v>
      </c>
      <c r="X143" s="25">
        <v>0</v>
      </c>
      <c r="Y143" s="25">
        <v>0</v>
      </c>
      <c r="Z143" s="25">
        <v>0</v>
      </c>
      <c r="AA143" s="25">
        <v>0</v>
      </c>
      <c r="AB143" s="25">
        <v>1</v>
      </c>
      <c r="AC143" s="25">
        <v>0</v>
      </c>
      <c r="AD143" s="25">
        <v>0</v>
      </c>
      <c r="AE143" s="25">
        <v>0</v>
      </c>
      <c r="AF143" s="25">
        <v>0</v>
      </c>
      <c r="AG143" s="25">
        <v>1</v>
      </c>
      <c r="AH143" s="25">
        <v>1</v>
      </c>
      <c r="AI143" s="25">
        <v>0</v>
      </c>
      <c r="AJ143" s="25">
        <v>0</v>
      </c>
      <c r="AK143" s="9">
        <v>1</v>
      </c>
      <c r="AL143" s="25">
        <v>0</v>
      </c>
      <c r="AM143" s="25">
        <v>1</v>
      </c>
      <c r="AN143" s="25">
        <v>0</v>
      </c>
      <c r="AO143" s="9" t="s">
        <v>59</v>
      </c>
      <c r="AP143" s="9" t="s">
        <v>59</v>
      </c>
      <c r="AQ143" s="9" t="s">
        <v>59</v>
      </c>
      <c r="AR143" s="25"/>
      <c r="AS143" s="25"/>
      <c r="AT143" s="25"/>
    </row>
    <row r="144" spans="1:46" s="9" customFormat="1" ht="13.75" customHeight="1">
      <c r="A144" s="28" t="s">
        <v>889</v>
      </c>
      <c r="B144" s="28" t="s">
        <v>890</v>
      </c>
      <c r="C144" s="28" t="s">
        <v>730</v>
      </c>
      <c r="D144" s="28"/>
      <c r="E144" s="28"/>
      <c r="F144" s="28">
        <v>2022</v>
      </c>
      <c r="G144" s="77" t="s">
        <v>1193</v>
      </c>
      <c r="H144" s="34" t="s">
        <v>337</v>
      </c>
      <c r="I144" s="34" t="s">
        <v>891</v>
      </c>
      <c r="J144" s="25">
        <v>1</v>
      </c>
      <c r="K144" s="25">
        <v>0</v>
      </c>
      <c r="L144" s="25">
        <v>1</v>
      </c>
      <c r="M144" s="25">
        <v>0</v>
      </c>
      <c r="N144" s="25">
        <v>1</v>
      </c>
      <c r="O144" s="25">
        <v>0</v>
      </c>
      <c r="P144" s="25">
        <v>0</v>
      </c>
      <c r="Q144" s="82" t="s">
        <v>59</v>
      </c>
      <c r="R144" s="25" t="s">
        <v>59</v>
      </c>
      <c r="S144" s="25" t="s">
        <v>59</v>
      </c>
      <c r="T144" s="25">
        <v>0</v>
      </c>
      <c r="U144" s="25">
        <v>0</v>
      </c>
      <c r="V144" s="25">
        <v>0</v>
      </c>
      <c r="W144" s="25">
        <v>0</v>
      </c>
      <c r="X144" s="25">
        <v>0</v>
      </c>
      <c r="Y144" s="25">
        <v>0</v>
      </c>
      <c r="Z144" s="25">
        <v>1</v>
      </c>
      <c r="AA144" s="25">
        <v>0</v>
      </c>
      <c r="AB144" s="25">
        <v>0</v>
      </c>
      <c r="AC144" s="25">
        <v>0</v>
      </c>
      <c r="AD144" s="25">
        <v>0</v>
      </c>
      <c r="AE144" s="25">
        <v>0</v>
      </c>
      <c r="AF144" s="25">
        <v>0</v>
      </c>
      <c r="AG144" s="25">
        <v>1</v>
      </c>
      <c r="AH144" s="25">
        <v>1</v>
      </c>
      <c r="AI144" s="25">
        <v>0</v>
      </c>
      <c r="AJ144" s="25">
        <v>0</v>
      </c>
      <c r="AK144" s="9">
        <v>1</v>
      </c>
      <c r="AL144" s="25">
        <v>0</v>
      </c>
      <c r="AM144" s="25">
        <v>1</v>
      </c>
      <c r="AN144" s="25">
        <v>0</v>
      </c>
      <c r="AO144" s="9" t="s">
        <v>59</v>
      </c>
      <c r="AP144" s="9" t="s">
        <v>59</v>
      </c>
      <c r="AQ144" s="9" t="s">
        <v>59</v>
      </c>
      <c r="AR144" s="25"/>
      <c r="AS144" s="25"/>
      <c r="AT144" s="25"/>
    </row>
    <row r="145" spans="1:47" s="9" customFormat="1" ht="13.75" customHeight="1">
      <c r="A145" s="28" t="s">
        <v>892</v>
      </c>
      <c r="B145" s="28" t="s">
        <v>893</v>
      </c>
      <c r="C145" s="28" t="s">
        <v>120</v>
      </c>
      <c r="D145" s="28" t="s">
        <v>894</v>
      </c>
      <c r="E145" s="28" t="s">
        <v>895</v>
      </c>
      <c r="F145" s="28">
        <v>2022</v>
      </c>
      <c r="G145" s="77" t="s">
        <v>1194</v>
      </c>
      <c r="H145" s="34" t="s">
        <v>124</v>
      </c>
      <c r="I145" s="34" t="s">
        <v>896</v>
      </c>
      <c r="J145" s="25">
        <v>1</v>
      </c>
      <c r="K145" s="25">
        <v>0</v>
      </c>
      <c r="L145" s="25">
        <v>0</v>
      </c>
      <c r="M145" s="25">
        <v>1</v>
      </c>
      <c r="N145" s="25">
        <v>1</v>
      </c>
      <c r="O145" s="25">
        <v>0</v>
      </c>
      <c r="P145" s="25">
        <v>0</v>
      </c>
      <c r="Q145" s="82" t="s">
        <v>59</v>
      </c>
      <c r="R145" s="25" t="s">
        <v>59</v>
      </c>
      <c r="S145" s="25" t="s">
        <v>59</v>
      </c>
      <c r="T145" s="25">
        <v>0</v>
      </c>
      <c r="U145" s="25">
        <v>0</v>
      </c>
      <c r="V145" s="25">
        <v>0</v>
      </c>
      <c r="W145" s="25">
        <v>0</v>
      </c>
      <c r="X145" s="25">
        <v>0</v>
      </c>
      <c r="Y145" s="25">
        <v>0</v>
      </c>
      <c r="Z145" s="25">
        <v>0</v>
      </c>
      <c r="AA145" s="25">
        <v>0</v>
      </c>
      <c r="AB145" s="25">
        <v>1</v>
      </c>
      <c r="AC145" s="25">
        <v>0</v>
      </c>
      <c r="AD145" s="25">
        <v>0</v>
      </c>
      <c r="AE145" s="25">
        <v>0</v>
      </c>
      <c r="AF145" s="25">
        <v>1</v>
      </c>
      <c r="AG145" s="25">
        <v>1</v>
      </c>
      <c r="AH145" s="25">
        <v>1</v>
      </c>
      <c r="AI145" s="25">
        <v>0</v>
      </c>
      <c r="AJ145" s="25">
        <v>0</v>
      </c>
      <c r="AK145" s="9">
        <v>1</v>
      </c>
      <c r="AL145" s="25">
        <v>0</v>
      </c>
      <c r="AM145" s="25">
        <v>1</v>
      </c>
      <c r="AN145" s="25">
        <v>0</v>
      </c>
      <c r="AO145" s="9" t="s">
        <v>59</v>
      </c>
      <c r="AP145" s="9" t="s">
        <v>59</v>
      </c>
      <c r="AQ145" s="9" t="s">
        <v>59</v>
      </c>
      <c r="AR145" s="25"/>
      <c r="AS145" s="25"/>
      <c r="AT145" s="25"/>
    </row>
    <row r="146" spans="1:47" s="9" customFormat="1" ht="13.75" customHeight="1">
      <c r="A146" s="28" t="s">
        <v>898</v>
      </c>
      <c r="B146" s="28" t="s">
        <v>899</v>
      </c>
      <c r="C146" s="28" t="s">
        <v>900</v>
      </c>
      <c r="D146" s="28" t="s">
        <v>901</v>
      </c>
      <c r="E146" s="28" t="s">
        <v>902</v>
      </c>
      <c r="F146" s="28">
        <v>2022</v>
      </c>
      <c r="G146" s="77" t="s">
        <v>1195</v>
      </c>
      <c r="H146" s="34" t="s">
        <v>105</v>
      </c>
      <c r="I146" s="34" t="s">
        <v>903</v>
      </c>
      <c r="J146" s="25">
        <v>1</v>
      </c>
      <c r="K146" s="25">
        <v>0</v>
      </c>
      <c r="L146" s="25">
        <v>1</v>
      </c>
      <c r="M146" s="25">
        <v>1</v>
      </c>
      <c r="N146" s="25">
        <v>1</v>
      </c>
      <c r="O146" s="25">
        <v>0</v>
      </c>
      <c r="P146" s="25">
        <v>0</v>
      </c>
      <c r="Q146" s="82">
        <v>1</v>
      </c>
      <c r="R146" s="25">
        <v>0</v>
      </c>
      <c r="S146" s="25">
        <v>1</v>
      </c>
      <c r="T146" s="25">
        <v>0</v>
      </c>
      <c r="U146" s="25">
        <v>0</v>
      </c>
      <c r="V146" s="25">
        <v>0</v>
      </c>
      <c r="W146" s="25">
        <v>0</v>
      </c>
      <c r="X146" s="25">
        <v>0</v>
      </c>
      <c r="Y146" s="25">
        <v>0</v>
      </c>
      <c r="Z146" s="25">
        <v>0</v>
      </c>
      <c r="AA146" s="25">
        <v>0</v>
      </c>
      <c r="AB146" s="25">
        <v>0</v>
      </c>
      <c r="AC146" s="25">
        <v>0</v>
      </c>
      <c r="AD146" s="25">
        <v>0</v>
      </c>
      <c r="AE146" s="25">
        <v>1</v>
      </c>
      <c r="AF146" s="25">
        <v>0</v>
      </c>
      <c r="AG146" s="25">
        <v>1</v>
      </c>
      <c r="AH146" s="25">
        <v>0</v>
      </c>
      <c r="AI146" s="25">
        <v>1</v>
      </c>
      <c r="AJ146" s="25">
        <v>0</v>
      </c>
      <c r="AK146" s="9">
        <v>1</v>
      </c>
      <c r="AL146" s="25">
        <v>0</v>
      </c>
      <c r="AM146" s="25">
        <v>1</v>
      </c>
      <c r="AN146" s="25">
        <v>0</v>
      </c>
      <c r="AO146" s="9" t="s">
        <v>59</v>
      </c>
      <c r="AP146" s="9" t="s">
        <v>59</v>
      </c>
      <c r="AQ146" s="9" t="s">
        <v>59</v>
      </c>
      <c r="AR146" s="25"/>
      <c r="AS146" s="25"/>
      <c r="AT146" s="25"/>
    </row>
    <row r="147" spans="1:47" s="9" customFormat="1" ht="13.75" customHeight="1">
      <c r="A147" s="28" t="s">
        <v>904</v>
      </c>
      <c r="B147" s="28" t="s">
        <v>905</v>
      </c>
      <c r="C147" s="28" t="s">
        <v>182</v>
      </c>
      <c r="D147" s="28"/>
      <c r="E147" s="28" t="s">
        <v>906</v>
      </c>
      <c r="F147" s="28">
        <v>2022</v>
      </c>
      <c r="G147" s="77" t="s">
        <v>1196</v>
      </c>
      <c r="H147" s="34" t="s">
        <v>183</v>
      </c>
      <c r="I147" s="34" t="s">
        <v>907</v>
      </c>
      <c r="J147" s="25">
        <v>1</v>
      </c>
      <c r="K147" s="25">
        <v>0</v>
      </c>
      <c r="L147" s="25">
        <v>0</v>
      </c>
      <c r="M147" s="25">
        <v>1</v>
      </c>
      <c r="N147" s="25">
        <v>0</v>
      </c>
      <c r="O147" s="25">
        <v>1</v>
      </c>
      <c r="P147" s="25">
        <v>0</v>
      </c>
      <c r="Q147" s="82" t="s">
        <v>59</v>
      </c>
      <c r="R147" s="25" t="s">
        <v>59</v>
      </c>
      <c r="S147" s="25" t="s">
        <v>59</v>
      </c>
      <c r="T147" s="25">
        <v>0</v>
      </c>
      <c r="U147" s="25">
        <v>0</v>
      </c>
      <c r="V147" s="25">
        <v>0</v>
      </c>
      <c r="W147" s="25">
        <v>0</v>
      </c>
      <c r="X147" s="25">
        <v>0</v>
      </c>
      <c r="Y147" s="25">
        <v>0</v>
      </c>
      <c r="Z147" s="25">
        <v>0</v>
      </c>
      <c r="AA147" s="25">
        <v>0</v>
      </c>
      <c r="AB147" s="25">
        <v>1</v>
      </c>
      <c r="AC147" s="25">
        <v>0</v>
      </c>
      <c r="AD147" s="25">
        <v>0</v>
      </c>
      <c r="AE147" s="25">
        <v>1</v>
      </c>
      <c r="AF147" s="25">
        <v>1</v>
      </c>
      <c r="AG147" s="25">
        <v>1</v>
      </c>
      <c r="AH147" s="25">
        <v>1</v>
      </c>
      <c r="AI147" s="25">
        <v>0</v>
      </c>
      <c r="AJ147" s="25">
        <v>0</v>
      </c>
      <c r="AK147" s="9">
        <v>1</v>
      </c>
      <c r="AL147" s="25">
        <v>0</v>
      </c>
      <c r="AM147" s="25">
        <v>1</v>
      </c>
      <c r="AN147" s="25">
        <v>0</v>
      </c>
      <c r="AO147" s="9" t="s">
        <v>59</v>
      </c>
      <c r="AP147" s="9" t="s">
        <v>59</v>
      </c>
      <c r="AQ147" s="9" t="s">
        <v>59</v>
      </c>
      <c r="AR147" s="25"/>
      <c r="AS147" s="25"/>
      <c r="AT147" s="25"/>
    </row>
    <row r="148" spans="1:47" s="9" customFormat="1" ht="13.75" customHeight="1">
      <c r="A148" s="28" t="s">
        <v>908</v>
      </c>
      <c r="B148" s="28" t="s">
        <v>909</v>
      </c>
      <c r="C148" s="28" t="s">
        <v>867</v>
      </c>
      <c r="D148" s="28" t="s">
        <v>910</v>
      </c>
      <c r="E148" s="28" t="s">
        <v>911</v>
      </c>
      <c r="F148" s="28">
        <v>2022</v>
      </c>
      <c r="G148" s="77" t="s">
        <v>1197</v>
      </c>
      <c r="H148" s="34" t="s">
        <v>75</v>
      </c>
      <c r="I148" s="34" t="s">
        <v>912</v>
      </c>
      <c r="J148" s="25">
        <v>1</v>
      </c>
      <c r="K148" s="25">
        <v>0</v>
      </c>
      <c r="L148" s="25">
        <v>0</v>
      </c>
      <c r="M148" s="25">
        <v>1</v>
      </c>
      <c r="N148" s="25">
        <v>0</v>
      </c>
      <c r="O148" s="25">
        <v>1</v>
      </c>
      <c r="P148" s="25">
        <v>0</v>
      </c>
      <c r="Q148" s="82" t="s">
        <v>59</v>
      </c>
      <c r="R148" s="25" t="s">
        <v>59</v>
      </c>
      <c r="S148" s="25" t="s">
        <v>59</v>
      </c>
      <c r="T148" s="25">
        <v>0</v>
      </c>
      <c r="U148" s="25">
        <v>0</v>
      </c>
      <c r="V148" s="25">
        <v>0</v>
      </c>
      <c r="W148" s="25">
        <v>0</v>
      </c>
      <c r="X148" s="25">
        <v>0</v>
      </c>
      <c r="Y148" s="25">
        <v>0</v>
      </c>
      <c r="Z148" s="25">
        <v>0</v>
      </c>
      <c r="AA148" s="25">
        <v>0</v>
      </c>
      <c r="AB148" s="25">
        <v>0</v>
      </c>
      <c r="AC148" s="25">
        <v>0</v>
      </c>
      <c r="AD148" s="25">
        <v>0</v>
      </c>
      <c r="AE148" s="25">
        <v>1</v>
      </c>
      <c r="AF148" s="25">
        <v>1</v>
      </c>
      <c r="AG148" s="25">
        <v>0</v>
      </c>
      <c r="AH148" s="25">
        <v>0</v>
      </c>
      <c r="AI148" s="25">
        <v>0</v>
      </c>
      <c r="AJ148" s="25">
        <v>0</v>
      </c>
      <c r="AK148" s="9">
        <v>1</v>
      </c>
      <c r="AL148" s="25">
        <v>0</v>
      </c>
      <c r="AM148" s="25">
        <v>1</v>
      </c>
      <c r="AN148" s="25">
        <v>0</v>
      </c>
      <c r="AO148" s="9" t="s">
        <v>59</v>
      </c>
      <c r="AP148" s="9" t="s">
        <v>59</v>
      </c>
      <c r="AQ148" s="9" t="s">
        <v>59</v>
      </c>
      <c r="AR148" s="25"/>
      <c r="AS148" s="25"/>
      <c r="AT148" s="25"/>
    </row>
    <row r="149" spans="1:47" s="9" customFormat="1" ht="13.75" customHeight="1">
      <c r="A149" s="28" t="s">
        <v>914</v>
      </c>
      <c r="B149" s="28" t="s">
        <v>915</v>
      </c>
      <c r="C149" s="28" t="s">
        <v>228</v>
      </c>
      <c r="D149" s="28" t="s">
        <v>916</v>
      </c>
      <c r="E149" s="28" t="s">
        <v>917</v>
      </c>
      <c r="F149" s="28">
        <v>2022</v>
      </c>
      <c r="G149" s="77" t="s">
        <v>1198</v>
      </c>
      <c r="H149" s="34" t="s">
        <v>105</v>
      </c>
      <c r="I149" s="34" t="s">
        <v>918</v>
      </c>
      <c r="J149" s="25">
        <v>1</v>
      </c>
      <c r="K149" s="25">
        <v>0</v>
      </c>
      <c r="L149" s="25">
        <v>0</v>
      </c>
      <c r="M149" s="25">
        <v>1</v>
      </c>
      <c r="N149" s="25" t="s">
        <v>59</v>
      </c>
      <c r="O149" s="25" t="s">
        <v>59</v>
      </c>
      <c r="P149" s="25" t="s">
        <v>59</v>
      </c>
      <c r="Q149" s="82" t="s">
        <v>59</v>
      </c>
      <c r="R149" s="25" t="s">
        <v>59</v>
      </c>
      <c r="S149" s="25" t="s">
        <v>59</v>
      </c>
      <c r="T149" s="25">
        <v>1</v>
      </c>
      <c r="U149" s="25">
        <v>0</v>
      </c>
      <c r="V149" s="25">
        <v>0</v>
      </c>
      <c r="W149" s="25">
        <v>0</v>
      </c>
      <c r="X149" s="25">
        <v>0</v>
      </c>
      <c r="Y149" s="25">
        <v>0</v>
      </c>
      <c r="Z149" s="25">
        <v>0</v>
      </c>
      <c r="AA149" s="25">
        <v>0</v>
      </c>
      <c r="AB149" s="25">
        <v>1</v>
      </c>
      <c r="AC149" s="25">
        <v>0</v>
      </c>
      <c r="AD149" s="25">
        <v>0</v>
      </c>
      <c r="AE149" s="25">
        <v>0</v>
      </c>
      <c r="AF149" s="25" t="s">
        <v>59</v>
      </c>
      <c r="AG149" s="25" t="s">
        <v>59</v>
      </c>
      <c r="AH149" s="25" t="s">
        <v>59</v>
      </c>
      <c r="AI149" s="25" t="s">
        <v>59</v>
      </c>
      <c r="AJ149" s="25">
        <v>0</v>
      </c>
      <c r="AK149" s="9">
        <v>1</v>
      </c>
      <c r="AL149" s="25">
        <v>0</v>
      </c>
      <c r="AM149" s="25">
        <v>1</v>
      </c>
      <c r="AN149" s="25">
        <v>0</v>
      </c>
      <c r="AO149" s="9" t="s">
        <v>59</v>
      </c>
      <c r="AP149" s="9" t="s">
        <v>59</v>
      </c>
      <c r="AQ149" s="9" t="s">
        <v>59</v>
      </c>
      <c r="AR149" s="25"/>
      <c r="AS149" s="25"/>
      <c r="AT149" s="25"/>
    </row>
    <row r="150" spans="1:47" s="9" customFormat="1" ht="13.75" customHeight="1">
      <c r="A150" s="28" t="s">
        <v>919</v>
      </c>
      <c r="B150" s="28" t="s">
        <v>920</v>
      </c>
      <c r="C150" s="28" t="s">
        <v>921</v>
      </c>
      <c r="D150" s="28" t="s">
        <v>922</v>
      </c>
      <c r="E150" s="28" t="s">
        <v>923</v>
      </c>
      <c r="F150" s="28">
        <v>2022</v>
      </c>
      <c r="G150" s="77" t="s">
        <v>1199</v>
      </c>
      <c r="H150" s="34" t="s">
        <v>924</v>
      </c>
      <c r="I150" s="34" t="s">
        <v>925</v>
      </c>
      <c r="J150" s="25">
        <v>1</v>
      </c>
      <c r="K150" s="25">
        <v>0</v>
      </c>
      <c r="L150" s="25">
        <v>0</v>
      </c>
      <c r="M150" s="25">
        <v>1</v>
      </c>
      <c r="N150" s="25">
        <v>1</v>
      </c>
      <c r="O150" s="25">
        <v>1</v>
      </c>
      <c r="P150" s="25">
        <v>1</v>
      </c>
      <c r="Q150" s="82">
        <v>1</v>
      </c>
      <c r="R150" s="25">
        <v>0</v>
      </c>
      <c r="S150" s="25">
        <v>1</v>
      </c>
      <c r="T150" s="25">
        <v>0</v>
      </c>
      <c r="U150" s="25">
        <v>0</v>
      </c>
      <c r="V150" s="25">
        <v>0</v>
      </c>
      <c r="W150" s="25">
        <v>0</v>
      </c>
      <c r="X150" s="25">
        <v>0</v>
      </c>
      <c r="Y150" s="25">
        <v>0</v>
      </c>
      <c r="Z150" s="25">
        <v>0</v>
      </c>
      <c r="AA150" s="25">
        <v>0</v>
      </c>
      <c r="AB150" s="25">
        <v>1</v>
      </c>
      <c r="AC150" s="25">
        <v>0</v>
      </c>
      <c r="AD150" s="25">
        <v>0</v>
      </c>
      <c r="AE150" s="25">
        <v>0</v>
      </c>
      <c r="AF150" s="25">
        <v>0</v>
      </c>
      <c r="AG150" s="25">
        <v>1</v>
      </c>
      <c r="AH150" s="25">
        <v>0</v>
      </c>
      <c r="AI150" s="25">
        <v>0</v>
      </c>
      <c r="AJ150" s="25">
        <v>0</v>
      </c>
      <c r="AK150" s="9">
        <v>1</v>
      </c>
      <c r="AL150" s="25">
        <v>0</v>
      </c>
      <c r="AM150" s="25">
        <v>1</v>
      </c>
      <c r="AN150" s="25">
        <v>0</v>
      </c>
      <c r="AO150" s="9" t="s">
        <v>59</v>
      </c>
      <c r="AP150" s="9" t="s">
        <v>59</v>
      </c>
      <c r="AQ150" s="9" t="s">
        <v>59</v>
      </c>
      <c r="AR150" s="25"/>
      <c r="AS150" s="25"/>
      <c r="AT150" s="25"/>
    </row>
    <row r="151" spans="1:47" s="9" customFormat="1" ht="13.75" customHeight="1">
      <c r="A151" s="28" t="s">
        <v>926</v>
      </c>
      <c r="B151" s="28" t="s">
        <v>927</v>
      </c>
      <c r="C151" s="28" t="s">
        <v>196</v>
      </c>
      <c r="D151" s="28" t="s">
        <v>928</v>
      </c>
      <c r="E151" s="28" t="s">
        <v>929</v>
      </c>
      <c r="F151" s="28">
        <v>2021</v>
      </c>
      <c r="G151" s="77" t="s">
        <v>1200</v>
      </c>
      <c r="H151" s="34" t="s">
        <v>124</v>
      </c>
      <c r="I151" s="34" t="s">
        <v>930</v>
      </c>
      <c r="J151" s="13">
        <v>1</v>
      </c>
      <c r="K151" s="13">
        <v>0</v>
      </c>
      <c r="L151" s="13">
        <v>0</v>
      </c>
      <c r="M151" s="13">
        <v>1</v>
      </c>
      <c r="N151" s="13">
        <v>1</v>
      </c>
      <c r="O151" s="13">
        <v>0</v>
      </c>
      <c r="P151" s="13">
        <v>0</v>
      </c>
      <c r="Q151" s="37" t="s">
        <v>59</v>
      </c>
      <c r="R151" s="13" t="s">
        <v>59</v>
      </c>
      <c r="S151" s="13" t="s">
        <v>59</v>
      </c>
      <c r="T151" s="13">
        <v>0</v>
      </c>
      <c r="U151" s="13">
        <v>0</v>
      </c>
      <c r="V151" s="13">
        <v>0</v>
      </c>
      <c r="W151" s="13">
        <v>0</v>
      </c>
      <c r="X151" s="13">
        <v>0</v>
      </c>
      <c r="Y151" s="13">
        <v>0</v>
      </c>
      <c r="Z151" s="13">
        <v>0</v>
      </c>
      <c r="AA151" s="13">
        <v>0</v>
      </c>
      <c r="AB151" s="13">
        <v>1</v>
      </c>
      <c r="AC151" s="13">
        <v>0</v>
      </c>
      <c r="AD151" s="13">
        <v>0</v>
      </c>
      <c r="AE151" s="13">
        <v>1</v>
      </c>
      <c r="AF151" s="13" t="s">
        <v>59</v>
      </c>
      <c r="AG151" s="13" t="s">
        <v>59</v>
      </c>
      <c r="AH151" s="13" t="s">
        <v>59</v>
      </c>
      <c r="AI151" s="13" t="s">
        <v>59</v>
      </c>
      <c r="AJ151" s="13">
        <v>0</v>
      </c>
      <c r="AK151" s="9">
        <v>1</v>
      </c>
      <c r="AL151" s="13">
        <v>0</v>
      </c>
      <c r="AM151" s="13">
        <v>1</v>
      </c>
      <c r="AN151" s="13">
        <v>0</v>
      </c>
      <c r="AO151" s="9" t="s">
        <v>59</v>
      </c>
      <c r="AP151" s="9" t="s">
        <v>59</v>
      </c>
      <c r="AQ151" s="9" t="s">
        <v>59</v>
      </c>
      <c r="AR151" s="13"/>
      <c r="AS151" s="13"/>
      <c r="AT151" s="13"/>
      <c r="AU151" s="7"/>
    </row>
    <row r="152" spans="1:47" s="9" customFormat="1" ht="13.75" customHeight="1">
      <c r="A152" s="28" t="s">
        <v>931</v>
      </c>
      <c r="B152" s="28" t="s">
        <v>932</v>
      </c>
      <c r="C152" s="28" t="s">
        <v>579</v>
      </c>
      <c r="D152" s="28" t="s">
        <v>933</v>
      </c>
      <c r="E152" s="28" t="s">
        <v>934</v>
      </c>
      <c r="F152" s="28">
        <v>2021</v>
      </c>
      <c r="G152" s="77" t="s">
        <v>1201</v>
      </c>
      <c r="H152" s="34" t="s">
        <v>124</v>
      </c>
      <c r="I152" s="34" t="s">
        <v>935</v>
      </c>
      <c r="J152" s="13">
        <v>1</v>
      </c>
      <c r="K152" s="13">
        <v>0</v>
      </c>
      <c r="L152" s="13">
        <v>0</v>
      </c>
      <c r="M152" s="13">
        <v>1</v>
      </c>
      <c r="N152" s="13">
        <v>1</v>
      </c>
      <c r="O152" s="13">
        <v>0</v>
      </c>
      <c r="P152" s="13">
        <v>0</v>
      </c>
      <c r="Q152" s="37">
        <v>1</v>
      </c>
      <c r="R152" s="13">
        <v>1</v>
      </c>
      <c r="S152" s="13">
        <v>1</v>
      </c>
      <c r="T152" s="13">
        <v>0</v>
      </c>
      <c r="U152" s="13">
        <v>0</v>
      </c>
      <c r="V152" s="13">
        <v>0</v>
      </c>
      <c r="W152" s="13">
        <v>0</v>
      </c>
      <c r="X152" s="13">
        <v>0</v>
      </c>
      <c r="Y152" s="13">
        <v>0</v>
      </c>
      <c r="Z152" s="13">
        <v>0</v>
      </c>
      <c r="AA152" s="13">
        <v>0</v>
      </c>
      <c r="AB152" s="13">
        <v>1</v>
      </c>
      <c r="AC152" s="13">
        <v>0</v>
      </c>
      <c r="AD152" s="13">
        <v>0</v>
      </c>
      <c r="AE152" s="13">
        <v>0</v>
      </c>
      <c r="AF152" s="13" t="s">
        <v>59</v>
      </c>
      <c r="AG152" s="13" t="s">
        <v>59</v>
      </c>
      <c r="AH152" s="13" t="s">
        <v>59</v>
      </c>
      <c r="AI152" s="13" t="s">
        <v>59</v>
      </c>
      <c r="AJ152" s="13">
        <v>0</v>
      </c>
      <c r="AK152" s="9">
        <v>1</v>
      </c>
      <c r="AL152" s="13">
        <v>0</v>
      </c>
      <c r="AM152" s="13">
        <v>1</v>
      </c>
      <c r="AN152" s="13">
        <v>0</v>
      </c>
      <c r="AO152" s="9" t="s">
        <v>59</v>
      </c>
      <c r="AP152" s="9" t="s">
        <v>59</v>
      </c>
      <c r="AQ152" s="9" t="s">
        <v>59</v>
      </c>
      <c r="AR152" s="13"/>
      <c r="AS152" s="13"/>
      <c r="AT152" s="13"/>
      <c r="AU152" s="7"/>
    </row>
    <row r="153" spans="1:47" s="9" customFormat="1" ht="13.75" customHeight="1">
      <c r="A153" s="28" t="s">
        <v>936</v>
      </c>
      <c r="B153" s="28" t="s">
        <v>937</v>
      </c>
      <c r="C153" s="28" t="s">
        <v>120</v>
      </c>
      <c r="D153" s="28" t="s">
        <v>938</v>
      </c>
      <c r="E153" s="28" t="s">
        <v>939</v>
      </c>
      <c r="F153" s="28">
        <v>2021</v>
      </c>
      <c r="G153" s="77" t="s">
        <v>1202</v>
      </c>
      <c r="H153" s="34" t="s">
        <v>124</v>
      </c>
      <c r="I153" s="34" t="s">
        <v>940</v>
      </c>
      <c r="J153" s="13">
        <v>1</v>
      </c>
      <c r="K153" s="13">
        <v>0</v>
      </c>
      <c r="L153" s="13">
        <v>0</v>
      </c>
      <c r="M153" s="13">
        <v>1</v>
      </c>
      <c r="N153" s="13">
        <v>1</v>
      </c>
      <c r="O153" s="13">
        <v>0</v>
      </c>
      <c r="P153" s="13">
        <v>0</v>
      </c>
      <c r="Q153" s="37" t="s">
        <v>59</v>
      </c>
      <c r="R153" s="13" t="s">
        <v>59</v>
      </c>
      <c r="S153" s="13" t="s">
        <v>59</v>
      </c>
      <c r="T153" s="13">
        <v>0</v>
      </c>
      <c r="U153" s="13">
        <v>0</v>
      </c>
      <c r="V153" s="13">
        <v>0</v>
      </c>
      <c r="W153" s="13">
        <v>0</v>
      </c>
      <c r="X153" s="13">
        <v>0</v>
      </c>
      <c r="Y153" s="13">
        <v>0</v>
      </c>
      <c r="Z153" s="13">
        <v>0</v>
      </c>
      <c r="AA153" s="13">
        <v>0</v>
      </c>
      <c r="AB153" s="13">
        <v>1</v>
      </c>
      <c r="AC153" s="13">
        <v>0</v>
      </c>
      <c r="AD153" s="13">
        <v>0</v>
      </c>
      <c r="AE153" s="13">
        <v>0</v>
      </c>
      <c r="AF153" s="13">
        <v>0</v>
      </c>
      <c r="AG153" s="13">
        <v>1</v>
      </c>
      <c r="AH153" s="13">
        <v>0</v>
      </c>
      <c r="AI153" s="13">
        <v>0</v>
      </c>
      <c r="AJ153" s="13">
        <v>0</v>
      </c>
      <c r="AK153" s="9">
        <v>1</v>
      </c>
      <c r="AL153" s="13">
        <v>0</v>
      </c>
      <c r="AM153" s="13">
        <v>1</v>
      </c>
      <c r="AN153" s="13">
        <v>0</v>
      </c>
      <c r="AO153" s="9" t="s">
        <v>59</v>
      </c>
      <c r="AP153" s="9" t="s">
        <v>59</v>
      </c>
      <c r="AQ153" s="9" t="s">
        <v>59</v>
      </c>
      <c r="AR153" s="13"/>
      <c r="AS153" s="13"/>
      <c r="AT153" s="13"/>
      <c r="AU153" s="7"/>
    </row>
    <row r="154" spans="1:47" s="9" customFormat="1" ht="13.75" customHeight="1">
      <c r="A154" s="28" t="s">
        <v>941</v>
      </c>
      <c r="B154" s="28" t="s">
        <v>942</v>
      </c>
      <c r="C154" s="28" t="s">
        <v>196</v>
      </c>
      <c r="D154" s="28" t="s">
        <v>943</v>
      </c>
      <c r="E154" s="28" t="s">
        <v>944</v>
      </c>
      <c r="F154" s="28">
        <v>2021</v>
      </c>
      <c r="G154" s="77" t="s">
        <v>1203</v>
      </c>
      <c r="H154" s="34" t="s">
        <v>124</v>
      </c>
      <c r="I154" s="34" t="s">
        <v>945</v>
      </c>
      <c r="J154" s="13">
        <v>1</v>
      </c>
      <c r="K154" s="13">
        <v>0</v>
      </c>
      <c r="L154" s="13">
        <v>0</v>
      </c>
      <c r="M154" s="13">
        <v>1</v>
      </c>
      <c r="N154" s="13">
        <v>1</v>
      </c>
      <c r="O154" s="13">
        <v>0</v>
      </c>
      <c r="P154" s="13">
        <v>0</v>
      </c>
      <c r="Q154" s="37" t="s">
        <v>59</v>
      </c>
      <c r="R154" s="13" t="s">
        <v>59</v>
      </c>
      <c r="S154" s="13" t="s">
        <v>59</v>
      </c>
      <c r="T154" s="13">
        <v>1</v>
      </c>
      <c r="U154" s="13">
        <v>0</v>
      </c>
      <c r="V154" s="13">
        <v>0</v>
      </c>
      <c r="W154" s="13">
        <v>0</v>
      </c>
      <c r="X154" s="13">
        <v>0</v>
      </c>
      <c r="Y154" s="13">
        <v>0</v>
      </c>
      <c r="Z154" s="13">
        <v>0</v>
      </c>
      <c r="AA154" s="13">
        <v>0</v>
      </c>
      <c r="AB154" s="13">
        <v>1</v>
      </c>
      <c r="AC154" s="13">
        <v>0</v>
      </c>
      <c r="AD154" s="13">
        <v>0</v>
      </c>
      <c r="AE154" s="13">
        <v>1</v>
      </c>
      <c r="AF154" s="13">
        <v>1</v>
      </c>
      <c r="AG154" s="13">
        <v>1</v>
      </c>
      <c r="AH154" s="13">
        <v>1</v>
      </c>
      <c r="AI154" s="13">
        <v>0</v>
      </c>
      <c r="AJ154" s="13">
        <v>0</v>
      </c>
      <c r="AK154" s="9">
        <v>1</v>
      </c>
      <c r="AL154" s="13">
        <v>0</v>
      </c>
      <c r="AM154" s="13">
        <v>1</v>
      </c>
      <c r="AN154" s="13">
        <v>0</v>
      </c>
      <c r="AO154" s="9" t="s">
        <v>59</v>
      </c>
      <c r="AP154" s="9" t="s">
        <v>59</v>
      </c>
      <c r="AQ154" s="9" t="s">
        <v>59</v>
      </c>
      <c r="AR154" s="13"/>
      <c r="AS154" s="13"/>
      <c r="AT154" s="13"/>
      <c r="AU154" s="7"/>
    </row>
    <row r="155" spans="1:47" s="9" customFormat="1" ht="13.75" customHeight="1">
      <c r="A155" s="28" t="s">
        <v>946</v>
      </c>
      <c r="B155" s="28" t="s">
        <v>947</v>
      </c>
      <c r="C155" s="28" t="s">
        <v>579</v>
      </c>
      <c r="D155" s="28" t="s">
        <v>948</v>
      </c>
      <c r="E155" s="28" t="s">
        <v>949</v>
      </c>
      <c r="F155" s="28">
        <v>2021</v>
      </c>
      <c r="G155" s="77" t="s">
        <v>1204</v>
      </c>
      <c r="H155" s="34" t="s">
        <v>124</v>
      </c>
      <c r="I155" s="34" t="s">
        <v>950</v>
      </c>
      <c r="J155" s="13">
        <v>1</v>
      </c>
      <c r="K155" s="13">
        <v>0</v>
      </c>
      <c r="L155" s="13">
        <v>0</v>
      </c>
      <c r="M155" s="13">
        <v>1</v>
      </c>
      <c r="N155" s="13">
        <v>1</v>
      </c>
      <c r="O155" s="13">
        <v>0</v>
      </c>
      <c r="P155" s="13">
        <v>0</v>
      </c>
      <c r="Q155" s="37" t="s">
        <v>59</v>
      </c>
      <c r="R155" s="13" t="s">
        <v>59</v>
      </c>
      <c r="S155" s="13" t="s">
        <v>59</v>
      </c>
      <c r="T155" s="13">
        <v>1</v>
      </c>
      <c r="U155" s="13">
        <v>0</v>
      </c>
      <c r="V155" s="13">
        <v>0</v>
      </c>
      <c r="W155" s="13">
        <v>0</v>
      </c>
      <c r="X155" s="13">
        <v>0</v>
      </c>
      <c r="Y155" s="13">
        <v>0</v>
      </c>
      <c r="Z155" s="13">
        <v>0</v>
      </c>
      <c r="AA155" s="13">
        <v>0</v>
      </c>
      <c r="AB155" s="13">
        <v>1</v>
      </c>
      <c r="AC155" s="13">
        <v>0</v>
      </c>
      <c r="AD155" s="13">
        <v>0</v>
      </c>
      <c r="AE155" s="13">
        <v>0</v>
      </c>
      <c r="AF155" s="13">
        <v>1</v>
      </c>
      <c r="AG155" s="13">
        <v>1</v>
      </c>
      <c r="AH155" s="13">
        <v>1</v>
      </c>
      <c r="AI155" s="13">
        <v>0</v>
      </c>
      <c r="AJ155" s="13">
        <v>0</v>
      </c>
      <c r="AK155" s="9">
        <v>1</v>
      </c>
      <c r="AL155" s="13">
        <v>0</v>
      </c>
      <c r="AM155" s="13">
        <v>1</v>
      </c>
      <c r="AN155" s="13">
        <v>0</v>
      </c>
      <c r="AO155" s="9" t="s">
        <v>59</v>
      </c>
      <c r="AP155" s="9" t="s">
        <v>59</v>
      </c>
      <c r="AQ155" s="9" t="s">
        <v>59</v>
      </c>
      <c r="AR155" s="13"/>
      <c r="AS155" s="13"/>
      <c r="AT155" s="13"/>
      <c r="AU155" s="7"/>
    </row>
    <row r="156" spans="1:47" s="9" customFormat="1" ht="13.75" customHeight="1">
      <c r="A156" s="28" t="s">
        <v>951</v>
      </c>
      <c r="B156" s="28" t="s">
        <v>952</v>
      </c>
      <c r="C156" s="28" t="s">
        <v>135</v>
      </c>
      <c r="D156" s="28" t="s">
        <v>953</v>
      </c>
      <c r="E156" s="28" t="s">
        <v>954</v>
      </c>
      <c r="F156" s="28">
        <v>2021</v>
      </c>
      <c r="G156" s="77" t="s">
        <v>1205</v>
      </c>
      <c r="H156" s="34" t="s">
        <v>75</v>
      </c>
      <c r="I156" s="34" t="s">
        <v>955</v>
      </c>
      <c r="J156" s="13">
        <v>1</v>
      </c>
      <c r="K156" s="13">
        <v>0</v>
      </c>
      <c r="L156" s="13">
        <v>0</v>
      </c>
      <c r="M156" s="13">
        <v>1</v>
      </c>
      <c r="N156" s="13">
        <v>1</v>
      </c>
      <c r="O156" s="13">
        <v>0</v>
      </c>
      <c r="P156" s="13">
        <v>0</v>
      </c>
      <c r="Q156" s="37" t="s">
        <v>59</v>
      </c>
      <c r="R156" s="13" t="s">
        <v>59</v>
      </c>
      <c r="S156" s="13" t="s">
        <v>59</v>
      </c>
      <c r="T156" s="13">
        <v>0</v>
      </c>
      <c r="U156" s="13">
        <v>0</v>
      </c>
      <c r="V156" s="13">
        <v>0</v>
      </c>
      <c r="W156" s="13">
        <v>0</v>
      </c>
      <c r="X156" s="13">
        <v>0</v>
      </c>
      <c r="Y156" s="13">
        <v>0</v>
      </c>
      <c r="Z156" s="13">
        <v>0</v>
      </c>
      <c r="AA156" s="13">
        <v>0</v>
      </c>
      <c r="AB156" s="13">
        <v>1</v>
      </c>
      <c r="AC156" s="13">
        <v>0</v>
      </c>
      <c r="AD156" s="13">
        <v>0</v>
      </c>
      <c r="AE156" s="13" t="s">
        <v>59</v>
      </c>
      <c r="AF156" s="13" t="s">
        <v>59</v>
      </c>
      <c r="AG156" s="13" t="s">
        <v>59</v>
      </c>
      <c r="AH156" s="13" t="s">
        <v>59</v>
      </c>
      <c r="AI156" s="13" t="s">
        <v>59</v>
      </c>
      <c r="AJ156" s="13">
        <v>0</v>
      </c>
      <c r="AK156" s="9">
        <v>1</v>
      </c>
      <c r="AL156" s="13">
        <v>0</v>
      </c>
      <c r="AM156" s="13">
        <v>1</v>
      </c>
      <c r="AN156" s="13">
        <v>0</v>
      </c>
      <c r="AO156" s="9" t="s">
        <v>59</v>
      </c>
      <c r="AP156" s="9" t="s">
        <v>59</v>
      </c>
      <c r="AQ156" s="9" t="s">
        <v>59</v>
      </c>
      <c r="AR156" s="13"/>
      <c r="AS156" s="13"/>
      <c r="AT156" s="13"/>
      <c r="AU156" s="7"/>
    </row>
    <row r="157" spans="1:47" s="9" customFormat="1" ht="13.75" customHeight="1">
      <c r="A157" s="28" t="s">
        <v>956</v>
      </c>
      <c r="B157" s="28" t="s">
        <v>957</v>
      </c>
      <c r="C157" s="28" t="s">
        <v>278</v>
      </c>
      <c r="D157" s="28" t="s">
        <v>958</v>
      </c>
      <c r="E157" s="28" t="s">
        <v>959</v>
      </c>
      <c r="F157" s="28">
        <v>2021</v>
      </c>
      <c r="G157" s="77" t="s">
        <v>1206</v>
      </c>
      <c r="H157" s="34" t="s">
        <v>117</v>
      </c>
      <c r="I157" s="34" t="s">
        <v>960</v>
      </c>
      <c r="J157" s="13">
        <v>1</v>
      </c>
      <c r="K157" s="13">
        <v>0</v>
      </c>
      <c r="L157" s="13" t="s">
        <v>59</v>
      </c>
      <c r="M157" s="13" t="s">
        <v>59</v>
      </c>
      <c r="N157" s="13">
        <v>1</v>
      </c>
      <c r="O157" s="13">
        <v>0</v>
      </c>
      <c r="P157" s="13">
        <v>0</v>
      </c>
      <c r="Q157" s="37">
        <v>1</v>
      </c>
      <c r="R157" s="13">
        <v>0</v>
      </c>
      <c r="S157" s="13">
        <v>1</v>
      </c>
      <c r="T157" s="13">
        <v>0</v>
      </c>
      <c r="U157" s="13">
        <v>0</v>
      </c>
      <c r="V157" s="13">
        <v>0</v>
      </c>
      <c r="W157" s="13">
        <v>0</v>
      </c>
      <c r="X157" s="13">
        <v>0</v>
      </c>
      <c r="Y157" s="13">
        <v>0</v>
      </c>
      <c r="Z157" s="13">
        <v>0</v>
      </c>
      <c r="AA157" s="13">
        <v>0</v>
      </c>
      <c r="AB157" s="13">
        <v>0</v>
      </c>
      <c r="AC157" s="13">
        <v>0</v>
      </c>
      <c r="AD157" s="13">
        <v>0</v>
      </c>
      <c r="AE157" s="13">
        <v>1</v>
      </c>
      <c r="AF157" s="13">
        <v>0</v>
      </c>
      <c r="AG157" s="13">
        <v>0</v>
      </c>
      <c r="AH157" s="13">
        <v>0</v>
      </c>
      <c r="AI157" s="13">
        <v>0</v>
      </c>
      <c r="AJ157" s="13">
        <v>0</v>
      </c>
      <c r="AK157" s="9">
        <v>1</v>
      </c>
      <c r="AL157" s="13">
        <v>0</v>
      </c>
      <c r="AM157" s="13">
        <v>1</v>
      </c>
      <c r="AN157" s="13">
        <v>0</v>
      </c>
      <c r="AO157" s="9" t="s">
        <v>59</v>
      </c>
      <c r="AP157" s="9" t="s">
        <v>59</v>
      </c>
      <c r="AQ157" s="9" t="s">
        <v>59</v>
      </c>
      <c r="AR157" s="13"/>
      <c r="AS157" s="13"/>
      <c r="AT157" s="13"/>
      <c r="AU157" s="7"/>
    </row>
    <row r="158" spans="1:47" s="9" customFormat="1" ht="13.75" customHeight="1">
      <c r="A158" s="28" t="s">
        <v>961</v>
      </c>
      <c r="B158" s="28" t="s">
        <v>962</v>
      </c>
      <c r="C158" s="28" t="s">
        <v>196</v>
      </c>
      <c r="D158" s="28" t="s">
        <v>963</v>
      </c>
      <c r="E158" s="28" t="s">
        <v>964</v>
      </c>
      <c r="F158" s="28">
        <v>2021</v>
      </c>
      <c r="G158" s="77" t="s">
        <v>1207</v>
      </c>
      <c r="H158" s="34" t="s">
        <v>124</v>
      </c>
      <c r="I158" s="34" t="s">
        <v>965</v>
      </c>
      <c r="J158" s="13">
        <v>1</v>
      </c>
      <c r="K158" s="13">
        <v>0</v>
      </c>
      <c r="L158" s="13">
        <v>0</v>
      </c>
      <c r="M158" s="13">
        <v>1</v>
      </c>
      <c r="N158" s="13">
        <v>1</v>
      </c>
      <c r="O158" s="13">
        <v>1</v>
      </c>
      <c r="P158" s="13">
        <v>1</v>
      </c>
      <c r="Q158" s="37" t="s">
        <v>59</v>
      </c>
      <c r="R158" s="13" t="s">
        <v>59</v>
      </c>
      <c r="S158" s="13" t="s">
        <v>59</v>
      </c>
      <c r="T158" s="13">
        <v>0</v>
      </c>
      <c r="U158" s="13">
        <v>0</v>
      </c>
      <c r="V158" s="13">
        <v>0</v>
      </c>
      <c r="W158" s="13">
        <v>0</v>
      </c>
      <c r="X158" s="13">
        <v>0</v>
      </c>
      <c r="Y158" s="13">
        <v>0</v>
      </c>
      <c r="Z158" s="13">
        <v>0</v>
      </c>
      <c r="AA158" s="13">
        <v>0</v>
      </c>
      <c r="AB158" s="13">
        <v>0</v>
      </c>
      <c r="AC158" s="13">
        <v>0</v>
      </c>
      <c r="AD158" s="13">
        <v>0</v>
      </c>
      <c r="AE158" s="13">
        <v>1</v>
      </c>
      <c r="AF158" s="13">
        <v>1</v>
      </c>
      <c r="AG158" s="13">
        <v>1</v>
      </c>
      <c r="AH158" s="13">
        <v>1</v>
      </c>
      <c r="AI158" s="13">
        <v>0</v>
      </c>
      <c r="AJ158" s="13">
        <v>0</v>
      </c>
      <c r="AK158" s="13">
        <v>1</v>
      </c>
      <c r="AL158" s="13">
        <v>0</v>
      </c>
      <c r="AM158" s="13">
        <v>1</v>
      </c>
      <c r="AN158" s="13">
        <v>0</v>
      </c>
      <c r="AO158" s="9" t="s">
        <v>59</v>
      </c>
      <c r="AP158" s="9" t="s">
        <v>59</v>
      </c>
      <c r="AQ158" s="9" t="s">
        <v>59</v>
      </c>
      <c r="AR158" s="13"/>
      <c r="AS158" s="13"/>
      <c r="AT158" s="13"/>
      <c r="AU158" s="7"/>
    </row>
    <row r="159" spans="1:47" s="9" customFormat="1" ht="13.75" customHeight="1">
      <c r="A159" s="28" t="s">
        <v>966</v>
      </c>
      <c r="B159" s="28" t="s">
        <v>967</v>
      </c>
      <c r="C159" s="28" t="s">
        <v>196</v>
      </c>
      <c r="D159" s="28" t="s">
        <v>968</v>
      </c>
      <c r="E159" s="28" t="s">
        <v>969</v>
      </c>
      <c r="F159" s="28">
        <v>2021</v>
      </c>
      <c r="G159" s="77" t="s">
        <v>1208</v>
      </c>
      <c r="H159" s="34" t="s">
        <v>124</v>
      </c>
      <c r="I159" s="34" t="s">
        <v>970</v>
      </c>
      <c r="J159" s="13">
        <v>1</v>
      </c>
      <c r="K159" s="13">
        <v>0</v>
      </c>
      <c r="L159" s="13">
        <v>0</v>
      </c>
      <c r="M159" s="13">
        <v>1</v>
      </c>
      <c r="N159" s="13">
        <v>1</v>
      </c>
      <c r="O159" s="13">
        <v>0</v>
      </c>
      <c r="P159" s="13">
        <v>0</v>
      </c>
      <c r="Q159" s="37" t="s">
        <v>59</v>
      </c>
      <c r="R159" s="13" t="s">
        <v>59</v>
      </c>
      <c r="S159" s="13" t="s">
        <v>59</v>
      </c>
      <c r="T159" s="13">
        <v>1</v>
      </c>
      <c r="U159" s="13">
        <v>0</v>
      </c>
      <c r="V159" s="13">
        <v>0</v>
      </c>
      <c r="W159" s="13">
        <v>0</v>
      </c>
      <c r="X159" s="13">
        <v>0</v>
      </c>
      <c r="Y159" s="13">
        <v>0</v>
      </c>
      <c r="Z159" s="13">
        <v>0</v>
      </c>
      <c r="AA159" s="13">
        <v>0</v>
      </c>
      <c r="AB159" s="13">
        <v>1</v>
      </c>
      <c r="AC159" s="13">
        <v>0</v>
      </c>
      <c r="AD159" s="13">
        <v>0</v>
      </c>
      <c r="AE159" s="13">
        <v>1</v>
      </c>
      <c r="AF159" s="13">
        <v>1</v>
      </c>
      <c r="AG159" s="13">
        <v>1</v>
      </c>
      <c r="AH159" s="13">
        <v>1</v>
      </c>
      <c r="AI159" s="13">
        <v>0</v>
      </c>
      <c r="AJ159" s="13">
        <v>0</v>
      </c>
      <c r="AK159" s="13">
        <v>1</v>
      </c>
      <c r="AL159" s="13">
        <v>0</v>
      </c>
      <c r="AM159" s="13">
        <v>1</v>
      </c>
      <c r="AN159" s="13">
        <v>0</v>
      </c>
      <c r="AO159" s="9" t="s">
        <v>59</v>
      </c>
      <c r="AP159" s="9" t="s">
        <v>59</v>
      </c>
      <c r="AQ159" s="9" t="s">
        <v>59</v>
      </c>
      <c r="AR159" s="13"/>
      <c r="AS159" s="13"/>
      <c r="AT159" s="13"/>
      <c r="AU159" s="7"/>
    </row>
    <row r="160" spans="1:47" s="9" customFormat="1" ht="13.75" customHeight="1">
      <c r="A160" s="28" t="s">
        <v>971</v>
      </c>
      <c r="B160" s="28" t="s">
        <v>972</v>
      </c>
      <c r="C160" s="28" t="s">
        <v>133</v>
      </c>
      <c r="D160" s="28" t="s">
        <v>973</v>
      </c>
      <c r="E160" s="28" t="s">
        <v>974</v>
      </c>
      <c r="F160" s="28">
        <v>2021</v>
      </c>
      <c r="G160" s="77" t="s">
        <v>1209</v>
      </c>
      <c r="H160" s="34" t="s">
        <v>117</v>
      </c>
      <c r="I160" s="34" t="s">
        <v>975</v>
      </c>
      <c r="J160" s="13">
        <v>1</v>
      </c>
      <c r="K160" s="13">
        <v>0</v>
      </c>
      <c r="L160" s="13">
        <v>1</v>
      </c>
      <c r="M160" s="13">
        <v>1</v>
      </c>
      <c r="N160" s="13">
        <v>1</v>
      </c>
      <c r="O160" s="13">
        <v>1</v>
      </c>
      <c r="P160" s="13">
        <v>1</v>
      </c>
      <c r="Q160" s="37">
        <v>1</v>
      </c>
      <c r="R160" s="13">
        <v>0</v>
      </c>
      <c r="S160" s="13">
        <v>1</v>
      </c>
      <c r="T160" s="13">
        <v>1</v>
      </c>
      <c r="U160" s="13">
        <v>0</v>
      </c>
      <c r="V160" s="13">
        <v>0</v>
      </c>
      <c r="W160" s="13">
        <v>0</v>
      </c>
      <c r="X160" s="13">
        <v>0</v>
      </c>
      <c r="Y160" s="13">
        <v>0</v>
      </c>
      <c r="Z160" s="13">
        <v>0</v>
      </c>
      <c r="AA160" s="13">
        <v>0</v>
      </c>
      <c r="AB160" s="13">
        <v>1</v>
      </c>
      <c r="AC160" s="13">
        <v>0</v>
      </c>
      <c r="AD160" s="13">
        <v>0</v>
      </c>
      <c r="AE160" s="13">
        <v>0</v>
      </c>
      <c r="AF160" s="13" t="s">
        <v>59</v>
      </c>
      <c r="AG160" s="13" t="s">
        <v>59</v>
      </c>
      <c r="AH160" s="13" t="s">
        <v>59</v>
      </c>
      <c r="AI160" s="13" t="s">
        <v>59</v>
      </c>
      <c r="AJ160" s="13">
        <v>0</v>
      </c>
      <c r="AK160" s="13">
        <v>1</v>
      </c>
      <c r="AL160" s="13">
        <v>0</v>
      </c>
      <c r="AM160" s="13">
        <v>1</v>
      </c>
      <c r="AN160" s="13">
        <v>0</v>
      </c>
      <c r="AO160" s="9" t="s">
        <v>59</v>
      </c>
      <c r="AP160" s="9" t="s">
        <v>59</v>
      </c>
      <c r="AQ160" s="9" t="s">
        <v>59</v>
      </c>
      <c r="AR160" s="13"/>
      <c r="AS160" s="13"/>
      <c r="AT160" s="13"/>
      <c r="AU160" s="7"/>
    </row>
    <row r="161" spans="1:47" s="9" customFormat="1" ht="13.75" customHeight="1">
      <c r="A161" s="28" t="s">
        <v>976</v>
      </c>
      <c r="B161" s="28" t="s">
        <v>977</v>
      </c>
      <c r="C161" s="28" t="s">
        <v>423</v>
      </c>
      <c r="D161" s="28"/>
      <c r="E161" s="28" t="s">
        <v>978</v>
      </c>
      <c r="F161" s="28">
        <v>2021</v>
      </c>
      <c r="G161" s="77" t="s">
        <v>1210</v>
      </c>
      <c r="H161" s="34" t="s">
        <v>183</v>
      </c>
      <c r="I161" s="34" t="s">
        <v>979</v>
      </c>
      <c r="J161" s="13">
        <v>1</v>
      </c>
      <c r="K161" s="13">
        <v>0</v>
      </c>
      <c r="L161" s="13">
        <v>0</v>
      </c>
      <c r="M161" s="13">
        <v>1</v>
      </c>
      <c r="N161" s="13">
        <v>1</v>
      </c>
      <c r="O161" s="13">
        <v>0</v>
      </c>
      <c r="P161" s="13">
        <v>0</v>
      </c>
      <c r="Q161" s="37">
        <v>1</v>
      </c>
      <c r="R161" s="13">
        <v>1</v>
      </c>
      <c r="S161" s="13">
        <v>1</v>
      </c>
      <c r="T161" s="13">
        <v>0</v>
      </c>
      <c r="U161" s="13">
        <v>0</v>
      </c>
      <c r="V161" s="13">
        <v>0</v>
      </c>
      <c r="W161" s="13">
        <v>0</v>
      </c>
      <c r="X161" s="13">
        <v>0</v>
      </c>
      <c r="Y161" s="13">
        <v>0</v>
      </c>
      <c r="Z161" s="13">
        <v>0</v>
      </c>
      <c r="AA161" s="13">
        <v>0</v>
      </c>
      <c r="AB161" s="13">
        <v>1</v>
      </c>
      <c r="AC161" s="13">
        <v>0</v>
      </c>
      <c r="AD161" s="13">
        <v>0</v>
      </c>
      <c r="AE161" s="13">
        <v>1</v>
      </c>
      <c r="AF161" s="13" t="s">
        <v>59</v>
      </c>
      <c r="AG161" s="13" t="s">
        <v>59</v>
      </c>
      <c r="AH161" s="13" t="s">
        <v>59</v>
      </c>
      <c r="AI161" s="13" t="s">
        <v>59</v>
      </c>
      <c r="AJ161" s="13">
        <v>0</v>
      </c>
      <c r="AK161" s="13">
        <v>1</v>
      </c>
      <c r="AL161" s="13">
        <v>0</v>
      </c>
      <c r="AM161" s="13">
        <v>1</v>
      </c>
      <c r="AN161" s="13">
        <v>0</v>
      </c>
      <c r="AO161" s="9" t="s">
        <v>59</v>
      </c>
      <c r="AP161" s="9" t="s">
        <v>59</v>
      </c>
      <c r="AQ161" s="9" t="s">
        <v>59</v>
      </c>
      <c r="AR161" s="13"/>
      <c r="AS161" s="13"/>
      <c r="AT161" s="13"/>
      <c r="AU161" s="7"/>
    </row>
    <row r="162" spans="1:47" s="9" customFormat="1" ht="13.75" customHeight="1">
      <c r="A162" s="28" t="s">
        <v>980</v>
      </c>
      <c r="B162" s="28" t="s">
        <v>981</v>
      </c>
      <c r="C162" s="28" t="s">
        <v>228</v>
      </c>
      <c r="D162" s="28" t="s">
        <v>982</v>
      </c>
      <c r="E162" s="28" t="s">
        <v>983</v>
      </c>
      <c r="F162" s="28">
        <v>2021</v>
      </c>
      <c r="G162" s="77" t="s">
        <v>1211</v>
      </c>
      <c r="H162" s="34" t="s">
        <v>105</v>
      </c>
      <c r="I162" s="34" t="s">
        <v>984</v>
      </c>
      <c r="J162" s="13">
        <v>1</v>
      </c>
      <c r="K162" s="13">
        <v>0</v>
      </c>
      <c r="L162" s="13">
        <v>0</v>
      </c>
      <c r="M162" s="13">
        <v>1</v>
      </c>
      <c r="N162" s="13">
        <v>1</v>
      </c>
      <c r="O162" s="13">
        <v>0</v>
      </c>
      <c r="P162" s="13">
        <v>0</v>
      </c>
      <c r="Q162" s="37" t="s">
        <v>59</v>
      </c>
      <c r="R162" s="13" t="s">
        <v>59</v>
      </c>
      <c r="S162" s="13" t="s">
        <v>59</v>
      </c>
      <c r="T162" s="13">
        <v>1</v>
      </c>
      <c r="U162" s="13">
        <v>0</v>
      </c>
      <c r="V162" s="13">
        <v>0</v>
      </c>
      <c r="W162" s="13">
        <v>0</v>
      </c>
      <c r="X162" s="13">
        <v>0</v>
      </c>
      <c r="Y162" s="13">
        <v>0</v>
      </c>
      <c r="Z162" s="13">
        <v>0</v>
      </c>
      <c r="AA162" s="13">
        <v>0</v>
      </c>
      <c r="AB162" s="13">
        <v>1</v>
      </c>
      <c r="AC162" s="13">
        <v>0</v>
      </c>
      <c r="AD162" s="13">
        <v>0</v>
      </c>
      <c r="AE162" s="13">
        <v>1</v>
      </c>
      <c r="AF162" s="13" t="s">
        <v>59</v>
      </c>
      <c r="AG162" s="13" t="s">
        <v>59</v>
      </c>
      <c r="AH162" s="13" t="s">
        <v>59</v>
      </c>
      <c r="AI162" s="13" t="s">
        <v>59</v>
      </c>
      <c r="AJ162" s="13">
        <v>0</v>
      </c>
      <c r="AK162" s="13">
        <v>1</v>
      </c>
      <c r="AL162" s="13">
        <v>0</v>
      </c>
      <c r="AM162" s="13">
        <v>1</v>
      </c>
      <c r="AN162" s="13">
        <v>0</v>
      </c>
      <c r="AO162" s="9" t="s">
        <v>59</v>
      </c>
      <c r="AP162" s="9" t="s">
        <v>59</v>
      </c>
      <c r="AQ162" s="9" t="s">
        <v>59</v>
      </c>
      <c r="AR162" s="13"/>
      <c r="AS162" s="13"/>
      <c r="AT162" s="13"/>
      <c r="AU162" s="7"/>
    </row>
    <row r="163" spans="1:47" s="9" customFormat="1" ht="13.75" customHeight="1">
      <c r="A163" s="28" t="s">
        <v>985</v>
      </c>
      <c r="B163" s="28" t="s">
        <v>986</v>
      </c>
      <c r="C163" s="28" t="s">
        <v>138</v>
      </c>
      <c r="D163" s="28" t="s">
        <v>987</v>
      </c>
      <c r="E163" s="28" t="s">
        <v>988</v>
      </c>
      <c r="F163" s="28">
        <v>2021</v>
      </c>
      <c r="G163" s="77" t="s">
        <v>1212</v>
      </c>
      <c r="H163" s="34" t="s">
        <v>124</v>
      </c>
      <c r="I163" s="34" t="s">
        <v>989</v>
      </c>
      <c r="J163" s="13">
        <v>1</v>
      </c>
      <c r="K163" s="13">
        <v>0</v>
      </c>
      <c r="L163" s="13">
        <v>0</v>
      </c>
      <c r="M163" s="13">
        <v>1</v>
      </c>
      <c r="N163" s="13">
        <v>1</v>
      </c>
      <c r="O163" s="13">
        <v>0</v>
      </c>
      <c r="P163" s="13">
        <v>0</v>
      </c>
      <c r="Q163" s="37" t="s">
        <v>59</v>
      </c>
      <c r="R163" s="13" t="s">
        <v>59</v>
      </c>
      <c r="S163" s="13" t="s">
        <v>59</v>
      </c>
      <c r="T163" s="13">
        <v>1</v>
      </c>
      <c r="U163" s="13">
        <v>0</v>
      </c>
      <c r="V163" s="13">
        <v>0</v>
      </c>
      <c r="W163" s="13">
        <v>0</v>
      </c>
      <c r="X163" s="13">
        <v>0</v>
      </c>
      <c r="Y163" s="13">
        <v>0</v>
      </c>
      <c r="Z163" s="13">
        <v>0</v>
      </c>
      <c r="AA163" s="13">
        <v>0</v>
      </c>
      <c r="AB163" s="13">
        <v>1</v>
      </c>
      <c r="AC163" s="13">
        <v>0</v>
      </c>
      <c r="AD163" s="13">
        <v>0</v>
      </c>
      <c r="AE163" s="13">
        <v>1</v>
      </c>
      <c r="AF163" s="13" t="s">
        <v>59</v>
      </c>
      <c r="AG163" s="13" t="s">
        <v>59</v>
      </c>
      <c r="AH163" s="13" t="s">
        <v>59</v>
      </c>
      <c r="AI163" s="13" t="s">
        <v>59</v>
      </c>
      <c r="AJ163" s="13">
        <v>0</v>
      </c>
      <c r="AK163" s="9">
        <v>1</v>
      </c>
      <c r="AL163" s="13">
        <v>0</v>
      </c>
      <c r="AM163" s="13">
        <v>1</v>
      </c>
      <c r="AN163" s="13">
        <v>0</v>
      </c>
      <c r="AO163" s="9" t="s">
        <v>59</v>
      </c>
      <c r="AP163" s="9" t="s">
        <v>59</v>
      </c>
      <c r="AQ163" s="9" t="s">
        <v>59</v>
      </c>
      <c r="AR163" s="13"/>
      <c r="AS163" s="13"/>
      <c r="AT163" s="13"/>
      <c r="AU163" s="7"/>
    </row>
    <row r="164" spans="1:47" s="9" customFormat="1" ht="13.75" customHeight="1">
      <c r="A164" s="28" t="s">
        <v>990</v>
      </c>
      <c r="B164" s="28" t="s">
        <v>991</v>
      </c>
      <c r="C164" s="28" t="s">
        <v>579</v>
      </c>
      <c r="D164" s="28" t="s">
        <v>992</v>
      </c>
      <c r="E164" s="28" t="s">
        <v>993</v>
      </c>
      <c r="F164" s="28">
        <v>2021</v>
      </c>
      <c r="G164" s="77" t="s">
        <v>1213</v>
      </c>
      <c r="H164" s="34" t="s">
        <v>124</v>
      </c>
      <c r="I164" s="34" t="s">
        <v>994</v>
      </c>
      <c r="J164" s="13">
        <v>1</v>
      </c>
      <c r="K164" s="13">
        <v>0</v>
      </c>
      <c r="L164" s="13">
        <v>1</v>
      </c>
      <c r="M164" s="13">
        <v>1</v>
      </c>
      <c r="N164" s="13">
        <v>1</v>
      </c>
      <c r="O164" s="13">
        <v>0</v>
      </c>
      <c r="P164" s="13">
        <v>1</v>
      </c>
      <c r="Q164" s="37">
        <v>1</v>
      </c>
      <c r="R164" s="13">
        <v>0</v>
      </c>
      <c r="S164" s="13">
        <v>1</v>
      </c>
      <c r="T164" s="13">
        <v>0</v>
      </c>
      <c r="U164" s="13">
        <v>0</v>
      </c>
      <c r="V164" s="13">
        <v>0</v>
      </c>
      <c r="W164" s="13">
        <v>0</v>
      </c>
      <c r="X164" s="13">
        <v>0</v>
      </c>
      <c r="Y164" s="13">
        <v>0</v>
      </c>
      <c r="Z164" s="13">
        <v>0</v>
      </c>
      <c r="AA164" s="13">
        <v>0</v>
      </c>
      <c r="AB164" s="13">
        <v>1</v>
      </c>
      <c r="AC164" s="13">
        <v>0</v>
      </c>
      <c r="AD164" s="13">
        <v>0</v>
      </c>
      <c r="AE164" s="13">
        <v>0</v>
      </c>
      <c r="AF164" s="13">
        <v>0</v>
      </c>
      <c r="AG164" s="13">
        <v>1</v>
      </c>
      <c r="AH164" s="13">
        <v>0</v>
      </c>
      <c r="AI164" s="13">
        <v>0</v>
      </c>
      <c r="AJ164" s="13">
        <v>0</v>
      </c>
      <c r="AK164" s="9">
        <v>1</v>
      </c>
      <c r="AL164" s="13">
        <v>0</v>
      </c>
      <c r="AM164" s="13">
        <v>1</v>
      </c>
      <c r="AN164" s="13">
        <v>0</v>
      </c>
      <c r="AO164" s="9" t="s">
        <v>59</v>
      </c>
      <c r="AP164" s="9" t="s">
        <v>59</v>
      </c>
      <c r="AQ164" s="9" t="s">
        <v>59</v>
      </c>
      <c r="AR164" s="13"/>
      <c r="AS164" s="13"/>
      <c r="AT164" s="13"/>
      <c r="AU164" s="7"/>
    </row>
    <row r="165" spans="1:47" s="9" customFormat="1" ht="13.75" customHeight="1">
      <c r="A165" s="28" t="s">
        <v>995</v>
      </c>
      <c r="B165" s="28" t="s">
        <v>996</v>
      </c>
      <c r="C165" s="28" t="s">
        <v>997</v>
      </c>
      <c r="D165" s="28"/>
      <c r="E165" s="28"/>
      <c r="F165" s="28">
        <v>2021</v>
      </c>
      <c r="G165" s="77" t="s">
        <v>1214</v>
      </c>
      <c r="H165" s="34" t="s">
        <v>369</v>
      </c>
      <c r="I165" s="34" t="s">
        <v>998</v>
      </c>
      <c r="J165" s="13">
        <v>1</v>
      </c>
      <c r="K165" s="13">
        <v>0</v>
      </c>
      <c r="L165" s="13">
        <v>1</v>
      </c>
      <c r="M165" s="13">
        <v>1</v>
      </c>
      <c r="N165" s="13">
        <v>1</v>
      </c>
      <c r="O165" s="13">
        <v>0</v>
      </c>
      <c r="P165" s="13">
        <v>1</v>
      </c>
      <c r="Q165" s="37" t="s">
        <v>59</v>
      </c>
      <c r="R165" s="13" t="s">
        <v>59</v>
      </c>
      <c r="S165" s="13" t="s">
        <v>59</v>
      </c>
      <c r="T165" s="13">
        <v>0</v>
      </c>
      <c r="U165" s="13">
        <v>0</v>
      </c>
      <c r="V165" s="13">
        <v>0</v>
      </c>
      <c r="W165" s="13">
        <v>1</v>
      </c>
      <c r="X165" s="13">
        <v>0</v>
      </c>
      <c r="Y165" s="13">
        <v>0</v>
      </c>
      <c r="Z165" s="13">
        <v>0</v>
      </c>
      <c r="AA165" s="13">
        <v>0</v>
      </c>
      <c r="AB165" s="13">
        <v>0</v>
      </c>
      <c r="AC165" s="13">
        <v>0</v>
      </c>
      <c r="AD165" s="13">
        <v>0</v>
      </c>
      <c r="AE165" s="13">
        <v>0</v>
      </c>
      <c r="AF165" s="13">
        <v>1</v>
      </c>
      <c r="AG165" s="13">
        <v>1</v>
      </c>
      <c r="AH165" s="13">
        <v>1</v>
      </c>
      <c r="AI165" s="13">
        <v>0</v>
      </c>
      <c r="AJ165" s="13">
        <v>0</v>
      </c>
      <c r="AK165" s="9">
        <v>1</v>
      </c>
      <c r="AL165" s="13">
        <v>0</v>
      </c>
      <c r="AM165" s="13">
        <v>1</v>
      </c>
      <c r="AN165" s="13">
        <v>0</v>
      </c>
      <c r="AO165" s="9" t="s">
        <v>59</v>
      </c>
      <c r="AP165" s="9" t="s">
        <v>59</v>
      </c>
      <c r="AQ165" s="9" t="s">
        <v>59</v>
      </c>
      <c r="AR165" s="13"/>
      <c r="AS165" s="13"/>
      <c r="AT165" s="13"/>
      <c r="AU165" s="7"/>
    </row>
    <row r="166" spans="1:47" s="9" customFormat="1" ht="13.75" customHeight="1">
      <c r="A166" s="28" t="s">
        <v>999</v>
      </c>
      <c r="B166" s="28" t="s">
        <v>1000</v>
      </c>
      <c r="C166" s="28" t="s">
        <v>373</v>
      </c>
      <c r="D166" s="28"/>
      <c r="E166" s="28" t="s">
        <v>1001</v>
      </c>
      <c r="F166" s="28">
        <v>2021</v>
      </c>
      <c r="G166" s="77" t="s">
        <v>1215</v>
      </c>
      <c r="H166" s="34" t="s">
        <v>124</v>
      </c>
      <c r="I166" s="34" t="s">
        <v>1002</v>
      </c>
      <c r="J166" s="13">
        <v>1</v>
      </c>
      <c r="K166" s="13">
        <v>0</v>
      </c>
      <c r="L166" s="13">
        <v>1</v>
      </c>
      <c r="M166" s="13">
        <v>1</v>
      </c>
      <c r="N166" s="13" t="s">
        <v>59</v>
      </c>
      <c r="O166" s="13" t="s">
        <v>59</v>
      </c>
      <c r="P166" s="13" t="s">
        <v>59</v>
      </c>
      <c r="Q166" s="37" t="s">
        <v>59</v>
      </c>
      <c r="R166" s="13" t="s">
        <v>59</v>
      </c>
      <c r="S166" s="13" t="s">
        <v>59</v>
      </c>
      <c r="T166" s="13">
        <v>1</v>
      </c>
      <c r="U166" s="13">
        <v>0</v>
      </c>
      <c r="V166" s="13">
        <v>0</v>
      </c>
      <c r="W166" s="13">
        <v>0</v>
      </c>
      <c r="X166" s="13">
        <v>0</v>
      </c>
      <c r="Y166" s="13">
        <v>0</v>
      </c>
      <c r="Z166" s="13">
        <v>0</v>
      </c>
      <c r="AA166" s="13">
        <v>0</v>
      </c>
      <c r="AB166" s="13">
        <v>1</v>
      </c>
      <c r="AC166" s="13">
        <v>0</v>
      </c>
      <c r="AD166" s="13">
        <v>0</v>
      </c>
      <c r="AE166" s="13">
        <v>1</v>
      </c>
      <c r="AF166" s="13" t="s">
        <v>59</v>
      </c>
      <c r="AG166" s="13" t="s">
        <v>59</v>
      </c>
      <c r="AH166" s="13" t="s">
        <v>59</v>
      </c>
      <c r="AI166" s="13" t="s">
        <v>59</v>
      </c>
      <c r="AJ166" s="13">
        <v>0</v>
      </c>
      <c r="AK166" s="9">
        <v>1</v>
      </c>
      <c r="AL166" s="13">
        <v>0</v>
      </c>
      <c r="AM166" s="13">
        <v>1</v>
      </c>
      <c r="AN166" s="13">
        <v>0</v>
      </c>
      <c r="AO166" s="9" t="s">
        <v>59</v>
      </c>
      <c r="AP166" s="9" t="s">
        <v>59</v>
      </c>
      <c r="AQ166" s="9" t="s">
        <v>59</v>
      </c>
      <c r="AR166" s="13"/>
      <c r="AS166" s="13"/>
      <c r="AT166" s="13"/>
      <c r="AU166" s="7"/>
    </row>
    <row r="167" spans="1:47" s="9" customFormat="1" ht="13.75" customHeight="1">
      <c r="A167" s="28" t="s">
        <v>1003</v>
      </c>
      <c r="B167" s="28" t="s">
        <v>1004</v>
      </c>
      <c r="C167" s="28" t="s">
        <v>196</v>
      </c>
      <c r="D167" s="28"/>
      <c r="E167" s="28"/>
      <c r="F167" s="28">
        <v>2021</v>
      </c>
      <c r="G167" s="77" t="s">
        <v>1216</v>
      </c>
      <c r="H167" s="34" t="s">
        <v>124</v>
      </c>
      <c r="I167" s="34" t="s">
        <v>1005</v>
      </c>
      <c r="J167" s="13">
        <v>1</v>
      </c>
      <c r="K167" s="13">
        <v>0</v>
      </c>
      <c r="L167" s="13">
        <v>1</v>
      </c>
      <c r="M167" s="13">
        <v>1</v>
      </c>
      <c r="N167" s="13">
        <v>1</v>
      </c>
      <c r="O167" s="13">
        <v>0</v>
      </c>
      <c r="P167" s="13">
        <v>0</v>
      </c>
      <c r="Q167" s="37">
        <v>1</v>
      </c>
      <c r="R167" s="13">
        <v>1</v>
      </c>
      <c r="S167" s="13">
        <v>1</v>
      </c>
      <c r="T167" s="13">
        <v>0</v>
      </c>
      <c r="U167" s="13">
        <v>0</v>
      </c>
      <c r="V167" s="13">
        <v>0</v>
      </c>
      <c r="W167" s="13">
        <v>0</v>
      </c>
      <c r="X167" s="13">
        <v>0</v>
      </c>
      <c r="Y167" s="13">
        <v>0</v>
      </c>
      <c r="Z167" s="13">
        <v>0</v>
      </c>
      <c r="AA167" s="13">
        <v>0</v>
      </c>
      <c r="AB167" s="13">
        <v>1</v>
      </c>
      <c r="AC167" s="13">
        <v>0</v>
      </c>
      <c r="AD167" s="13">
        <v>0</v>
      </c>
      <c r="AE167" s="13">
        <v>0</v>
      </c>
      <c r="AF167" s="13">
        <v>1</v>
      </c>
      <c r="AG167" s="13">
        <v>1</v>
      </c>
      <c r="AH167" s="13">
        <v>1</v>
      </c>
      <c r="AI167" s="13">
        <v>0</v>
      </c>
      <c r="AJ167" s="13">
        <v>0</v>
      </c>
      <c r="AK167" s="9">
        <v>1</v>
      </c>
      <c r="AL167" s="13">
        <v>0</v>
      </c>
      <c r="AM167" s="13">
        <v>1</v>
      </c>
      <c r="AN167" s="13">
        <v>0</v>
      </c>
      <c r="AO167" s="9" t="s">
        <v>59</v>
      </c>
      <c r="AP167" s="9" t="s">
        <v>59</v>
      </c>
      <c r="AQ167" s="9" t="s">
        <v>59</v>
      </c>
      <c r="AR167" s="13"/>
      <c r="AS167" s="13"/>
      <c r="AT167" s="13"/>
      <c r="AU167" s="7"/>
    </row>
    <row r="168" spans="1:47" s="9" customFormat="1" ht="13.75" customHeight="1">
      <c r="A168" s="28" t="s">
        <v>1006</v>
      </c>
      <c r="B168" s="28" t="s">
        <v>1007</v>
      </c>
      <c r="C168" s="28" t="s">
        <v>391</v>
      </c>
      <c r="D168" s="28"/>
      <c r="E168" s="28" t="s">
        <v>1008</v>
      </c>
      <c r="F168" s="28">
        <v>2021</v>
      </c>
      <c r="G168" s="77" t="s">
        <v>1217</v>
      </c>
      <c r="H168" s="34" t="s">
        <v>183</v>
      </c>
      <c r="I168" s="34" t="s">
        <v>1009</v>
      </c>
      <c r="J168" s="13">
        <v>1</v>
      </c>
      <c r="K168" s="13">
        <v>0</v>
      </c>
      <c r="L168" s="13">
        <v>1</v>
      </c>
      <c r="M168" s="13">
        <v>1</v>
      </c>
      <c r="N168" s="13">
        <v>1</v>
      </c>
      <c r="O168" s="13">
        <v>0</v>
      </c>
      <c r="P168" s="13">
        <v>0</v>
      </c>
      <c r="Q168" s="37" t="s">
        <v>59</v>
      </c>
      <c r="R168" s="13" t="s">
        <v>59</v>
      </c>
      <c r="S168" s="13" t="s">
        <v>59</v>
      </c>
      <c r="T168" s="13">
        <v>0</v>
      </c>
      <c r="U168" s="13">
        <v>0</v>
      </c>
      <c r="V168" s="13">
        <v>0</v>
      </c>
      <c r="W168" s="13">
        <v>0</v>
      </c>
      <c r="X168" s="13">
        <v>0</v>
      </c>
      <c r="Y168" s="13">
        <v>0</v>
      </c>
      <c r="Z168" s="13">
        <v>0</v>
      </c>
      <c r="AA168" s="13">
        <v>0</v>
      </c>
      <c r="AB168" s="13">
        <v>1</v>
      </c>
      <c r="AC168" s="13">
        <v>0</v>
      </c>
      <c r="AD168" s="13">
        <v>0</v>
      </c>
      <c r="AE168" s="13">
        <v>0</v>
      </c>
      <c r="AF168" s="13" t="s">
        <v>59</v>
      </c>
      <c r="AG168" s="13" t="s">
        <v>59</v>
      </c>
      <c r="AH168" s="13" t="s">
        <v>59</v>
      </c>
      <c r="AI168" s="13" t="s">
        <v>59</v>
      </c>
      <c r="AJ168" s="13">
        <v>0</v>
      </c>
      <c r="AK168" s="9">
        <v>1</v>
      </c>
      <c r="AL168" s="13">
        <v>0</v>
      </c>
      <c r="AM168" s="13">
        <v>1</v>
      </c>
      <c r="AN168" s="13">
        <v>0</v>
      </c>
      <c r="AO168" s="9" t="s">
        <v>59</v>
      </c>
      <c r="AP168" s="9" t="s">
        <v>59</v>
      </c>
      <c r="AQ168" s="9" t="s">
        <v>59</v>
      </c>
      <c r="AR168" s="13"/>
      <c r="AS168" s="13"/>
      <c r="AT168" s="13"/>
      <c r="AU168" s="7"/>
    </row>
    <row r="169" spans="1:47" s="9" customFormat="1" ht="13.75" customHeight="1">
      <c r="A169" s="28" t="s">
        <v>1010</v>
      </c>
      <c r="B169" s="28" t="s">
        <v>1011</v>
      </c>
      <c r="C169" s="28" t="s">
        <v>897</v>
      </c>
      <c r="D169" s="28" t="s">
        <v>1012</v>
      </c>
      <c r="E169" s="28"/>
      <c r="F169" s="28">
        <v>2021</v>
      </c>
      <c r="G169" s="77" t="s">
        <v>1218</v>
      </c>
      <c r="H169" s="34" t="s">
        <v>402</v>
      </c>
      <c r="I169" s="34" t="s">
        <v>1013</v>
      </c>
      <c r="J169" s="13">
        <v>1</v>
      </c>
      <c r="K169" s="13">
        <v>0</v>
      </c>
      <c r="L169" s="13">
        <v>0</v>
      </c>
      <c r="M169" s="13">
        <v>1</v>
      </c>
      <c r="N169" s="13">
        <v>1</v>
      </c>
      <c r="O169" s="13">
        <v>1</v>
      </c>
      <c r="P169" s="13">
        <v>0</v>
      </c>
      <c r="Q169" s="37" t="s">
        <v>59</v>
      </c>
      <c r="R169" s="13" t="s">
        <v>59</v>
      </c>
      <c r="S169" s="13" t="s">
        <v>59</v>
      </c>
      <c r="T169" s="13">
        <v>0</v>
      </c>
      <c r="U169" s="13">
        <v>0</v>
      </c>
      <c r="V169" s="13">
        <v>0</v>
      </c>
      <c r="W169" s="13">
        <v>0</v>
      </c>
      <c r="X169" s="13">
        <v>0</v>
      </c>
      <c r="Y169" s="13">
        <v>0</v>
      </c>
      <c r="Z169" s="13">
        <v>0</v>
      </c>
      <c r="AA169" s="13">
        <v>0</v>
      </c>
      <c r="AB169" s="13">
        <v>1</v>
      </c>
      <c r="AC169" s="13">
        <v>0</v>
      </c>
      <c r="AD169" s="13">
        <v>0</v>
      </c>
      <c r="AE169" s="13">
        <v>0</v>
      </c>
      <c r="AF169" s="13">
        <v>1</v>
      </c>
      <c r="AG169" s="13">
        <v>1</v>
      </c>
      <c r="AH169" s="13">
        <v>1</v>
      </c>
      <c r="AI169" s="13">
        <v>0</v>
      </c>
      <c r="AJ169" s="13">
        <v>0</v>
      </c>
      <c r="AK169" s="9">
        <v>1</v>
      </c>
      <c r="AL169" s="13">
        <v>0</v>
      </c>
      <c r="AM169" s="13">
        <v>1</v>
      </c>
      <c r="AN169" s="13">
        <v>0</v>
      </c>
      <c r="AO169" s="9" t="s">
        <v>59</v>
      </c>
      <c r="AP169" s="9" t="s">
        <v>59</v>
      </c>
      <c r="AQ169" s="9" t="s">
        <v>59</v>
      </c>
      <c r="AR169" s="13"/>
      <c r="AS169" s="13"/>
      <c r="AT169" s="13"/>
      <c r="AU169" s="7"/>
    </row>
    <row r="170" spans="1:47" s="9" customFormat="1" ht="13.75" customHeight="1">
      <c r="A170" s="28" t="s">
        <v>1014</v>
      </c>
      <c r="B170" s="28" t="s">
        <v>1015</v>
      </c>
      <c r="C170" s="28" t="s">
        <v>135</v>
      </c>
      <c r="D170" s="28" t="s">
        <v>1016</v>
      </c>
      <c r="E170" s="28" t="s">
        <v>1017</v>
      </c>
      <c r="F170" s="28">
        <v>2021</v>
      </c>
      <c r="G170" s="77" t="s">
        <v>1219</v>
      </c>
      <c r="H170" s="34" t="s">
        <v>75</v>
      </c>
      <c r="I170" s="34" t="s">
        <v>1018</v>
      </c>
      <c r="J170" s="13">
        <v>1</v>
      </c>
      <c r="K170" s="13">
        <v>0</v>
      </c>
      <c r="L170" s="13">
        <v>0</v>
      </c>
      <c r="M170" s="13">
        <v>1</v>
      </c>
      <c r="N170" s="13">
        <v>1</v>
      </c>
      <c r="O170" s="13">
        <v>0</v>
      </c>
      <c r="P170" s="13">
        <v>0</v>
      </c>
      <c r="Q170" s="37" t="s">
        <v>59</v>
      </c>
      <c r="R170" s="13" t="s">
        <v>59</v>
      </c>
      <c r="S170" s="13" t="s">
        <v>59</v>
      </c>
      <c r="T170" s="13">
        <v>0</v>
      </c>
      <c r="U170" s="13">
        <v>0</v>
      </c>
      <c r="V170" s="13">
        <v>0</v>
      </c>
      <c r="W170" s="13">
        <v>0</v>
      </c>
      <c r="X170" s="13">
        <v>0</v>
      </c>
      <c r="Y170" s="13">
        <v>0</v>
      </c>
      <c r="Z170" s="13">
        <v>1</v>
      </c>
      <c r="AA170" s="13">
        <v>0</v>
      </c>
      <c r="AB170" s="13">
        <v>0</v>
      </c>
      <c r="AC170" s="13">
        <v>0</v>
      </c>
      <c r="AD170" s="13">
        <v>0</v>
      </c>
      <c r="AE170" s="13">
        <v>0</v>
      </c>
      <c r="AF170" s="13">
        <v>0</v>
      </c>
      <c r="AG170" s="13">
        <v>1</v>
      </c>
      <c r="AH170" s="13">
        <v>1</v>
      </c>
      <c r="AI170" s="13">
        <v>0</v>
      </c>
      <c r="AJ170" s="13">
        <v>1</v>
      </c>
      <c r="AK170" s="9">
        <v>1</v>
      </c>
      <c r="AL170" s="13">
        <v>0</v>
      </c>
      <c r="AM170" s="13">
        <v>1</v>
      </c>
      <c r="AN170" s="13">
        <v>0</v>
      </c>
      <c r="AO170" s="9" t="s">
        <v>59</v>
      </c>
      <c r="AP170" s="9" t="s">
        <v>59</v>
      </c>
      <c r="AQ170" s="9" t="s">
        <v>59</v>
      </c>
      <c r="AR170" s="13"/>
      <c r="AS170" s="13"/>
      <c r="AT170" s="13"/>
      <c r="AU170" s="7"/>
    </row>
    <row r="171" spans="1:47" s="9" customFormat="1" ht="13.75" customHeight="1">
      <c r="A171" s="10" t="s">
        <v>1019</v>
      </c>
      <c r="B171" s="10" t="s">
        <v>1020</v>
      </c>
      <c r="C171" s="10" t="s">
        <v>913</v>
      </c>
      <c r="D171" s="16"/>
      <c r="E171" s="10" t="s">
        <v>1021</v>
      </c>
      <c r="F171" s="16">
        <v>2021</v>
      </c>
      <c r="G171" s="10" t="str">
        <f>HYPERLINK("http://dx.doi.org/10.5194/nhess-21-2867-2021","http://dx.doi.org/10.5194/nhess-21-2867-2021")</f>
        <v>http://dx.doi.org/10.5194/nhess-21-2867-2021</v>
      </c>
      <c r="H171" s="8" t="s">
        <v>134</v>
      </c>
      <c r="I171" s="8" t="s">
        <v>1022</v>
      </c>
      <c r="J171" s="7">
        <v>1</v>
      </c>
      <c r="K171" s="7">
        <v>0</v>
      </c>
      <c r="L171" s="7">
        <v>1</v>
      </c>
      <c r="M171" s="7">
        <v>1</v>
      </c>
      <c r="N171" s="7">
        <v>0</v>
      </c>
      <c r="O171" s="7">
        <v>1</v>
      </c>
      <c r="P171" s="7">
        <v>0</v>
      </c>
      <c r="Q171" s="37" t="s">
        <v>59</v>
      </c>
      <c r="R171" s="7" t="s">
        <v>59</v>
      </c>
      <c r="S171" s="7" t="s">
        <v>59</v>
      </c>
      <c r="T171" s="7">
        <v>0</v>
      </c>
      <c r="U171" s="7">
        <v>0</v>
      </c>
      <c r="V171" s="7">
        <v>0</v>
      </c>
      <c r="W171" s="7">
        <v>0</v>
      </c>
      <c r="X171" s="7">
        <v>0</v>
      </c>
      <c r="Y171" s="7">
        <v>0</v>
      </c>
      <c r="Z171" s="7">
        <v>0</v>
      </c>
      <c r="AA171" s="7">
        <v>0</v>
      </c>
      <c r="AB171" s="7">
        <v>1</v>
      </c>
      <c r="AC171" s="7">
        <v>1</v>
      </c>
      <c r="AD171" s="7">
        <v>0</v>
      </c>
      <c r="AE171" s="7">
        <v>1</v>
      </c>
      <c r="AF171" s="7" t="s">
        <v>59</v>
      </c>
      <c r="AG171" s="7" t="s">
        <v>59</v>
      </c>
      <c r="AH171" s="7" t="s">
        <v>59</v>
      </c>
      <c r="AI171" s="7" t="s">
        <v>59</v>
      </c>
      <c r="AJ171" s="7">
        <v>0</v>
      </c>
      <c r="AK171" s="9">
        <v>1</v>
      </c>
      <c r="AL171" s="7">
        <v>0</v>
      </c>
      <c r="AM171" s="7">
        <v>1</v>
      </c>
      <c r="AN171" s="7">
        <v>0</v>
      </c>
      <c r="AO171" s="9" t="s">
        <v>59</v>
      </c>
      <c r="AP171" s="9" t="s">
        <v>59</v>
      </c>
      <c r="AQ171" s="9" t="s">
        <v>59</v>
      </c>
      <c r="AR171" s="7"/>
      <c r="AS171" s="7"/>
      <c r="AT171" s="7"/>
      <c r="AU171" s="7"/>
    </row>
    <row r="172" spans="1:47" s="9" customFormat="1" ht="13.75" customHeight="1">
      <c r="A172" s="10" t="s">
        <v>1023</v>
      </c>
      <c r="B172" s="10" t="s">
        <v>1024</v>
      </c>
      <c r="C172" s="10" t="s">
        <v>1025</v>
      </c>
      <c r="D172" s="10" t="s">
        <v>1026</v>
      </c>
      <c r="E172" s="10" t="s">
        <v>1027</v>
      </c>
      <c r="F172" s="16">
        <v>2021</v>
      </c>
      <c r="G172" s="10" t="str">
        <f>HYPERLINK("http://dx.doi.org/10.1097/JOM.0000000000002286","http://dx.doi.org/10.1097/JOM.0000000000002286")</f>
        <v>http://dx.doi.org/10.1097/JOM.0000000000002286</v>
      </c>
      <c r="H172" s="8" t="s">
        <v>75</v>
      </c>
      <c r="I172" s="8" t="s">
        <v>1028</v>
      </c>
      <c r="J172" s="7">
        <v>1</v>
      </c>
      <c r="K172" s="7">
        <v>0</v>
      </c>
      <c r="L172" s="7">
        <v>1</v>
      </c>
      <c r="M172" s="7">
        <v>1</v>
      </c>
      <c r="N172" s="7">
        <v>1</v>
      </c>
      <c r="O172" s="7">
        <v>0</v>
      </c>
      <c r="P172" s="7">
        <v>0</v>
      </c>
      <c r="Q172" s="37" t="s">
        <v>59</v>
      </c>
      <c r="R172" s="7" t="s">
        <v>59</v>
      </c>
      <c r="S172" s="7" t="s">
        <v>59</v>
      </c>
      <c r="T172" s="7">
        <v>0</v>
      </c>
      <c r="U172" s="7">
        <v>0</v>
      </c>
      <c r="V172" s="7">
        <v>0</v>
      </c>
      <c r="W172" s="7">
        <v>0</v>
      </c>
      <c r="X172" s="7">
        <v>0</v>
      </c>
      <c r="Y172" s="7">
        <v>0</v>
      </c>
      <c r="Z172" s="7">
        <v>0</v>
      </c>
      <c r="AA172" s="7">
        <v>0</v>
      </c>
      <c r="AB172" s="7">
        <v>1</v>
      </c>
      <c r="AC172" s="7">
        <v>0</v>
      </c>
      <c r="AD172" s="7">
        <v>0</v>
      </c>
      <c r="AE172" s="7">
        <v>0</v>
      </c>
      <c r="AF172" s="7">
        <v>0</v>
      </c>
      <c r="AG172" s="7">
        <v>1</v>
      </c>
      <c r="AH172" s="7">
        <v>0</v>
      </c>
      <c r="AI172" s="7">
        <v>1</v>
      </c>
      <c r="AJ172" s="7">
        <v>0</v>
      </c>
      <c r="AK172" s="9">
        <v>1</v>
      </c>
      <c r="AL172" s="7">
        <v>0</v>
      </c>
      <c r="AM172" s="7">
        <v>1</v>
      </c>
      <c r="AN172" s="7">
        <v>0</v>
      </c>
      <c r="AO172" s="9" t="s">
        <v>59</v>
      </c>
      <c r="AP172" s="9" t="s">
        <v>59</v>
      </c>
      <c r="AQ172" s="9" t="s">
        <v>59</v>
      </c>
      <c r="AR172" s="7"/>
      <c r="AS172" s="7"/>
      <c r="AT172" s="7"/>
      <c r="AU172" s="7"/>
    </row>
    <row r="173" spans="1:47" s="9" customFormat="1" ht="13.75" customHeight="1">
      <c r="A173" s="10" t="s">
        <v>1029</v>
      </c>
      <c r="B173" s="10" t="s">
        <v>1030</v>
      </c>
      <c r="C173" s="10" t="s">
        <v>278</v>
      </c>
      <c r="D173" s="10" t="s">
        <v>1031</v>
      </c>
      <c r="E173" s="10" t="s">
        <v>1032</v>
      </c>
      <c r="F173" s="16">
        <v>2021</v>
      </c>
      <c r="G173" s="10" t="str">
        <f>HYPERLINK("http://dx.doi.org/10.1088/1748-9326/ac02ee","http://dx.doi.org/10.1088/1748-9326/ac02ee")</f>
        <v>http://dx.doi.org/10.1088/1748-9326/ac02ee</v>
      </c>
      <c r="H173" s="8" t="s">
        <v>117</v>
      </c>
      <c r="I173" s="8" t="s">
        <v>1033</v>
      </c>
      <c r="J173" s="7">
        <v>1</v>
      </c>
      <c r="K173" s="7">
        <v>0</v>
      </c>
      <c r="L173" s="7">
        <v>1</v>
      </c>
      <c r="M173" s="7">
        <v>0</v>
      </c>
      <c r="N173" s="7">
        <v>1</v>
      </c>
      <c r="O173" s="7">
        <v>0</v>
      </c>
      <c r="P173" s="7">
        <v>0</v>
      </c>
      <c r="Q173" s="37">
        <v>1</v>
      </c>
      <c r="R173" s="7">
        <v>0</v>
      </c>
      <c r="S173" s="7">
        <v>0</v>
      </c>
      <c r="T173" s="7">
        <v>0</v>
      </c>
      <c r="U173" s="7">
        <v>0</v>
      </c>
      <c r="V173" s="7">
        <v>0</v>
      </c>
      <c r="W173" s="7">
        <v>0</v>
      </c>
      <c r="X173" s="7">
        <v>0</v>
      </c>
      <c r="Y173" s="7">
        <v>0</v>
      </c>
      <c r="Z173" s="7">
        <v>0</v>
      </c>
      <c r="AA173" s="7">
        <v>0</v>
      </c>
      <c r="AB173" s="7">
        <v>0</v>
      </c>
      <c r="AC173" s="7">
        <v>0</v>
      </c>
      <c r="AD173" s="7">
        <v>0</v>
      </c>
      <c r="AE173" s="7">
        <v>1</v>
      </c>
      <c r="AF173" s="7" t="s">
        <v>59</v>
      </c>
      <c r="AG173" s="7" t="s">
        <v>59</v>
      </c>
      <c r="AH173" s="7" t="s">
        <v>59</v>
      </c>
      <c r="AI173" s="7" t="s">
        <v>59</v>
      </c>
      <c r="AJ173" s="7">
        <v>0</v>
      </c>
      <c r="AK173" s="9">
        <v>1</v>
      </c>
      <c r="AL173" s="7">
        <v>0</v>
      </c>
      <c r="AM173" s="7">
        <v>1</v>
      </c>
      <c r="AN173" s="7">
        <v>0</v>
      </c>
      <c r="AO173" s="9" t="s">
        <v>59</v>
      </c>
      <c r="AP173" s="9" t="s">
        <v>59</v>
      </c>
      <c r="AQ173" s="9" t="s">
        <v>59</v>
      </c>
      <c r="AR173" s="7"/>
      <c r="AS173" s="7"/>
      <c r="AT173" s="7"/>
      <c r="AU173" s="7"/>
    </row>
    <row r="174" spans="1:47" s="9" customFormat="1" ht="13.75" customHeight="1">
      <c r="A174" s="10" t="s">
        <v>1034</v>
      </c>
      <c r="B174" s="10" t="s">
        <v>1035</v>
      </c>
      <c r="C174" s="10" t="s">
        <v>336</v>
      </c>
      <c r="D174" s="16"/>
      <c r="E174" s="10" t="s">
        <v>1036</v>
      </c>
      <c r="F174" s="16">
        <v>2021</v>
      </c>
      <c r="G174" s="10" t="str">
        <f>HYPERLINK("http://dx.doi.org/10.1038/s41370-021-00366-w","http://dx.doi.org/10.1038/s41370-021-00366-w")</f>
        <v>http://dx.doi.org/10.1038/s41370-021-00366-w</v>
      </c>
      <c r="H174" s="8" t="s">
        <v>1220</v>
      </c>
      <c r="I174" s="8" t="s">
        <v>1037</v>
      </c>
      <c r="J174" s="7">
        <v>1</v>
      </c>
      <c r="K174" s="7">
        <v>0</v>
      </c>
      <c r="L174" s="7">
        <v>0</v>
      </c>
      <c r="M174" s="7">
        <v>1</v>
      </c>
      <c r="N174" s="7">
        <v>1</v>
      </c>
      <c r="O174" s="7">
        <v>0</v>
      </c>
      <c r="P174" s="7">
        <v>0</v>
      </c>
      <c r="Q174" s="37">
        <v>0</v>
      </c>
      <c r="R174" s="7">
        <v>1</v>
      </c>
      <c r="S174" s="7">
        <v>1</v>
      </c>
      <c r="T174" s="7">
        <v>0</v>
      </c>
      <c r="U174" s="7">
        <v>0</v>
      </c>
      <c r="V174" s="7">
        <v>0</v>
      </c>
      <c r="W174" s="7">
        <v>0</v>
      </c>
      <c r="X174" s="7">
        <v>0</v>
      </c>
      <c r="Y174" s="7">
        <v>0</v>
      </c>
      <c r="Z174" s="7">
        <v>0</v>
      </c>
      <c r="AA174" s="7">
        <v>0</v>
      </c>
      <c r="AB174" s="7">
        <v>1</v>
      </c>
      <c r="AC174" s="7">
        <v>0</v>
      </c>
      <c r="AD174" s="7">
        <v>0</v>
      </c>
      <c r="AE174" s="7">
        <v>0</v>
      </c>
      <c r="AF174" s="7">
        <v>1</v>
      </c>
      <c r="AG174" s="7">
        <v>1</v>
      </c>
      <c r="AH174" s="7">
        <v>1</v>
      </c>
      <c r="AI174" s="7">
        <v>0</v>
      </c>
      <c r="AJ174" s="7">
        <v>0</v>
      </c>
      <c r="AK174" s="9">
        <v>1</v>
      </c>
      <c r="AL174" s="7">
        <v>0</v>
      </c>
      <c r="AM174" s="7">
        <v>1</v>
      </c>
      <c r="AN174" s="7">
        <v>0</v>
      </c>
      <c r="AO174" s="9" t="s">
        <v>59</v>
      </c>
      <c r="AP174" s="9" t="s">
        <v>59</v>
      </c>
      <c r="AQ174" s="9" t="s">
        <v>59</v>
      </c>
      <c r="AR174" s="7"/>
      <c r="AS174" s="7"/>
      <c r="AT174" s="7"/>
      <c r="AU174" s="7"/>
    </row>
    <row r="175" spans="1:47" s="9" customFormat="1" ht="13.75" customHeight="1">
      <c r="A175" s="10" t="s">
        <v>1038</v>
      </c>
      <c r="B175" s="10" t="s">
        <v>1039</v>
      </c>
      <c r="C175" s="10" t="s">
        <v>196</v>
      </c>
      <c r="D175" s="10" t="s">
        <v>1040</v>
      </c>
      <c r="E175" s="10" t="s">
        <v>1041</v>
      </c>
      <c r="F175" s="16">
        <v>2021</v>
      </c>
      <c r="G175" s="10" t="str">
        <f>HYPERLINK("http://dx.doi.org/10.1029/2021GH000457","http://dx.doi.org/10.1029/2021GH000457")</f>
        <v>http://dx.doi.org/10.1029/2021GH000457</v>
      </c>
      <c r="H175" s="8" t="s">
        <v>124</v>
      </c>
      <c r="I175" s="8" t="s">
        <v>1042</v>
      </c>
      <c r="J175" s="7">
        <v>1</v>
      </c>
      <c r="K175" s="7">
        <v>0</v>
      </c>
      <c r="L175" s="7">
        <v>0</v>
      </c>
      <c r="M175" s="7">
        <v>1</v>
      </c>
      <c r="N175" s="7">
        <v>1</v>
      </c>
      <c r="O175" s="7">
        <v>0</v>
      </c>
      <c r="P175" s="7">
        <v>0</v>
      </c>
      <c r="Q175" s="37">
        <v>1</v>
      </c>
      <c r="R175" s="7">
        <v>1</v>
      </c>
      <c r="S175" s="7">
        <v>1</v>
      </c>
      <c r="T175" s="7">
        <v>0</v>
      </c>
      <c r="U175" s="7">
        <v>0</v>
      </c>
      <c r="V175" s="7">
        <v>0</v>
      </c>
      <c r="W175" s="7">
        <v>0</v>
      </c>
      <c r="X175" s="7">
        <v>0</v>
      </c>
      <c r="Y175" s="7">
        <v>0</v>
      </c>
      <c r="Z175" s="7">
        <v>0</v>
      </c>
      <c r="AA175" s="7">
        <v>0</v>
      </c>
      <c r="AB175" s="7">
        <v>0</v>
      </c>
      <c r="AC175" s="7">
        <v>0</v>
      </c>
      <c r="AD175" s="7">
        <v>0</v>
      </c>
      <c r="AE175" s="7">
        <v>1</v>
      </c>
      <c r="AF175" s="7" t="s">
        <v>59</v>
      </c>
      <c r="AG175" s="7" t="s">
        <v>59</v>
      </c>
      <c r="AH175" s="7" t="s">
        <v>59</v>
      </c>
      <c r="AI175" s="7" t="s">
        <v>59</v>
      </c>
      <c r="AJ175" s="7">
        <v>0</v>
      </c>
      <c r="AK175" s="9">
        <v>1</v>
      </c>
      <c r="AL175" s="7">
        <v>0</v>
      </c>
      <c r="AM175" s="7">
        <v>1</v>
      </c>
      <c r="AN175" s="7">
        <v>0</v>
      </c>
      <c r="AO175" s="9" t="s">
        <v>59</v>
      </c>
      <c r="AP175" s="9" t="s">
        <v>59</v>
      </c>
      <c r="AQ175" s="9" t="s">
        <v>59</v>
      </c>
      <c r="AR175" s="7"/>
      <c r="AS175" s="7"/>
      <c r="AT175" s="7"/>
      <c r="AU175" s="7"/>
    </row>
    <row r="176" spans="1:47" s="9" customFormat="1" ht="13.75" customHeight="1">
      <c r="A176" s="10" t="s">
        <v>1043</v>
      </c>
      <c r="B176" s="10" t="s">
        <v>1044</v>
      </c>
      <c r="C176" s="10" t="s">
        <v>196</v>
      </c>
      <c r="D176" s="10" t="s">
        <v>1045</v>
      </c>
      <c r="E176" s="10" t="s">
        <v>1046</v>
      </c>
      <c r="F176" s="16">
        <v>2021</v>
      </c>
      <c r="G176" s="10" t="str">
        <f>HYPERLINK("http://dx.doi.org/10.1029/2021GH000454","http://dx.doi.org/10.1029/2021GH000454")</f>
        <v>http://dx.doi.org/10.1029/2021GH000454</v>
      </c>
      <c r="H176" s="8" t="s">
        <v>124</v>
      </c>
      <c r="I176" s="8" t="s">
        <v>1047</v>
      </c>
      <c r="J176" s="7">
        <v>1</v>
      </c>
      <c r="K176" s="7">
        <v>0</v>
      </c>
      <c r="L176" s="7">
        <v>0</v>
      </c>
      <c r="M176" s="7">
        <v>1</v>
      </c>
      <c r="N176" s="7">
        <v>1</v>
      </c>
      <c r="O176" s="7">
        <v>0</v>
      </c>
      <c r="P176" s="7">
        <v>0</v>
      </c>
      <c r="Q176" s="37" t="s">
        <v>59</v>
      </c>
      <c r="R176" s="7" t="s">
        <v>59</v>
      </c>
      <c r="S176" s="7" t="s">
        <v>59</v>
      </c>
      <c r="T176" s="7">
        <v>0</v>
      </c>
      <c r="U176" s="7">
        <v>0</v>
      </c>
      <c r="V176" s="7">
        <v>0</v>
      </c>
      <c r="W176" s="7">
        <v>0</v>
      </c>
      <c r="X176" s="7">
        <v>0</v>
      </c>
      <c r="Y176" s="7">
        <v>0</v>
      </c>
      <c r="Z176" s="7">
        <v>0</v>
      </c>
      <c r="AA176" s="7">
        <v>0</v>
      </c>
      <c r="AB176" s="7">
        <v>0</v>
      </c>
      <c r="AC176" s="7">
        <v>0</v>
      </c>
      <c r="AD176" s="7">
        <v>0</v>
      </c>
      <c r="AE176" s="7">
        <v>1</v>
      </c>
      <c r="AF176" s="7">
        <v>1</v>
      </c>
      <c r="AG176" s="7">
        <v>1</v>
      </c>
      <c r="AH176" s="7">
        <v>1</v>
      </c>
      <c r="AI176" s="7">
        <v>0</v>
      </c>
      <c r="AJ176" s="7">
        <v>0</v>
      </c>
      <c r="AK176" s="9">
        <v>1</v>
      </c>
      <c r="AL176" s="7">
        <v>0</v>
      </c>
      <c r="AM176" s="7">
        <v>1</v>
      </c>
      <c r="AN176" s="7">
        <v>0</v>
      </c>
      <c r="AO176" s="9" t="s">
        <v>59</v>
      </c>
      <c r="AP176" s="9" t="s">
        <v>59</v>
      </c>
      <c r="AQ176" s="9" t="s">
        <v>59</v>
      </c>
      <c r="AR176" s="7"/>
      <c r="AS176" s="7"/>
      <c r="AT176" s="7"/>
      <c r="AU176" s="7"/>
    </row>
    <row r="177" spans="1:47" s="9" customFormat="1" ht="13.75" customHeight="1">
      <c r="A177" s="10" t="s">
        <v>1048</v>
      </c>
      <c r="B177" s="10" t="s">
        <v>1049</v>
      </c>
      <c r="C177" s="10" t="s">
        <v>579</v>
      </c>
      <c r="D177" s="10" t="s">
        <v>1050</v>
      </c>
      <c r="E177" s="10" t="s">
        <v>1051</v>
      </c>
      <c r="F177" s="16">
        <v>2021</v>
      </c>
      <c r="G177" s="10" t="str">
        <f>HYPERLINK("http://dx.doi.org/10.3390/ijerph18126223","http://dx.doi.org/10.3390/ijerph18126223")</f>
        <v>http://dx.doi.org/10.3390/ijerph18126223</v>
      </c>
      <c r="H177" s="8" t="s">
        <v>124</v>
      </c>
      <c r="I177" s="8" t="s">
        <v>1052</v>
      </c>
      <c r="J177" s="7">
        <v>1</v>
      </c>
      <c r="K177" s="7">
        <v>0</v>
      </c>
      <c r="L177" s="7" t="s">
        <v>59</v>
      </c>
      <c r="M177" s="7" t="s">
        <v>59</v>
      </c>
      <c r="N177" s="7" t="s">
        <v>59</v>
      </c>
      <c r="O177" s="7" t="s">
        <v>59</v>
      </c>
      <c r="P177" s="7" t="s">
        <v>59</v>
      </c>
      <c r="Q177" s="37" t="s">
        <v>59</v>
      </c>
      <c r="R177" s="7" t="s">
        <v>59</v>
      </c>
      <c r="S177" s="7" t="s">
        <v>59</v>
      </c>
      <c r="T177" s="7">
        <v>0</v>
      </c>
      <c r="U177" s="7">
        <v>0</v>
      </c>
      <c r="V177" s="7">
        <v>0</v>
      </c>
      <c r="W177" s="7">
        <v>0</v>
      </c>
      <c r="X177" s="7">
        <v>0</v>
      </c>
      <c r="Y177" s="7">
        <v>0</v>
      </c>
      <c r="Z177" s="7">
        <v>0</v>
      </c>
      <c r="AA177" s="7">
        <v>1</v>
      </c>
      <c r="AB177" s="7">
        <v>0</v>
      </c>
      <c r="AC177" s="7">
        <v>0</v>
      </c>
      <c r="AD177" s="7">
        <v>0</v>
      </c>
      <c r="AE177" s="7">
        <v>0</v>
      </c>
      <c r="AF177" s="7">
        <v>0</v>
      </c>
      <c r="AG177" s="7">
        <v>1</v>
      </c>
      <c r="AH177" s="7">
        <v>0</v>
      </c>
      <c r="AI177" s="7">
        <v>0</v>
      </c>
      <c r="AJ177" s="7">
        <v>0</v>
      </c>
      <c r="AK177" s="9">
        <v>1</v>
      </c>
      <c r="AL177" s="7">
        <v>0</v>
      </c>
      <c r="AM177" s="7">
        <v>1</v>
      </c>
      <c r="AN177" s="7">
        <v>0</v>
      </c>
      <c r="AO177" s="9" t="s">
        <v>59</v>
      </c>
      <c r="AP177" s="9" t="s">
        <v>59</v>
      </c>
      <c r="AQ177" s="9" t="s">
        <v>59</v>
      </c>
      <c r="AR177" s="7"/>
      <c r="AS177" s="7"/>
      <c r="AT177" s="7"/>
      <c r="AU177" s="7"/>
    </row>
    <row r="178" spans="1:47" s="9" customFormat="1" ht="13.75" customHeight="1">
      <c r="A178" s="10" t="s">
        <v>1053</v>
      </c>
      <c r="B178" s="10" t="s">
        <v>1054</v>
      </c>
      <c r="C178" s="10" t="s">
        <v>464</v>
      </c>
      <c r="D178" s="10" t="s">
        <v>1055</v>
      </c>
      <c r="E178" s="10" t="s">
        <v>1056</v>
      </c>
      <c r="F178" s="16">
        <v>2021</v>
      </c>
      <c r="G178" s="10" t="str">
        <f>HYPERLINK("http://dx.doi.org/10.1016/j.envint.2020.106214","http://dx.doi.org/10.1016/j.envint.2020.106214")</f>
        <v>http://dx.doi.org/10.1016/j.envint.2020.106214</v>
      </c>
      <c r="H178" s="8" t="s">
        <v>105</v>
      </c>
      <c r="I178" s="8" t="s">
        <v>1057</v>
      </c>
      <c r="J178" s="7">
        <v>1</v>
      </c>
      <c r="K178" s="7">
        <v>0</v>
      </c>
      <c r="L178" s="7">
        <v>1</v>
      </c>
      <c r="M178" s="7">
        <v>1</v>
      </c>
      <c r="N178" s="7" t="s">
        <v>59</v>
      </c>
      <c r="O178" s="7" t="s">
        <v>59</v>
      </c>
      <c r="P178" s="7" t="s">
        <v>59</v>
      </c>
      <c r="Q178" s="37" t="s">
        <v>59</v>
      </c>
      <c r="R178" s="7" t="s">
        <v>59</v>
      </c>
      <c r="S178" s="7" t="s">
        <v>59</v>
      </c>
      <c r="T178" s="7">
        <v>0</v>
      </c>
      <c r="U178" s="7">
        <v>0</v>
      </c>
      <c r="V178" s="7">
        <v>0</v>
      </c>
      <c r="W178" s="7">
        <v>0</v>
      </c>
      <c r="X178" s="7">
        <v>0</v>
      </c>
      <c r="Y178" s="7">
        <v>0</v>
      </c>
      <c r="Z178" s="7">
        <v>0</v>
      </c>
      <c r="AA178" s="7">
        <v>0</v>
      </c>
      <c r="AB178" s="7">
        <v>0</v>
      </c>
      <c r="AC178" s="7">
        <v>0</v>
      </c>
      <c r="AD178" s="7">
        <v>0</v>
      </c>
      <c r="AE178" s="7">
        <v>1</v>
      </c>
      <c r="AF178" s="7">
        <v>1</v>
      </c>
      <c r="AG178" s="7">
        <v>0</v>
      </c>
      <c r="AH178" s="7">
        <v>0</v>
      </c>
      <c r="AI178" s="7">
        <v>0</v>
      </c>
      <c r="AJ178" s="7">
        <v>0</v>
      </c>
      <c r="AK178" s="7">
        <v>1</v>
      </c>
      <c r="AL178" s="7">
        <v>0</v>
      </c>
      <c r="AM178" s="7">
        <v>1</v>
      </c>
      <c r="AN178" s="7">
        <v>0</v>
      </c>
      <c r="AO178" s="9" t="s">
        <v>59</v>
      </c>
      <c r="AP178" s="9" t="s">
        <v>59</v>
      </c>
      <c r="AQ178" s="9" t="s">
        <v>59</v>
      </c>
      <c r="AR178" s="7"/>
      <c r="AS178" s="7"/>
      <c r="AT178" s="7"/>
      <c r="AU178" s="7"/>
    </row>
    <row r="179" spans="1:47" s="9" customFormat="1" ht="13.75" customHeight="1">
      <c r="A179" s="19" t="s">
        <v>1058</v>
      </c>
      <c r="B179" s="19" t="s">
        <v>1059</v>
      </c>
      <c r="C179" s="19" t="s">
        <v>101</v>
      </c>
      <c r="D179" s="19" t="s">
        <v>1060</v>
      </c>
      <c r="E179" s="19" t="s">
        <v>1061</v>
      </c>
      <c r="F179" s="20">
        <v>2021</v>
      </c>
      <c r="G179" s="19" t="str">
        <f>HYPERLINK("http://dx.doi.org/10.1016/j.envpol.2021.116498","http://dx.doi.org/10.1016/j.envpol.2021.116498")</f>
        <v>http://dx.doi.org/10.1016/j.envpol.2021.116498</v>
      </c>
      <c r="H179" s="21" t="s">
        <v>105</v>
      </c>
      <c r="I179" s="21" t="s">
        <v>1062</v>
      </c>
      <c r="J179" s="13">
        <v>1</v>
      </c>
      <c r="K179" s="13">
        <v>0</v>
      </c>
      <c r="L179" s="13">
        <v>0</v>
      </c>
      <c r="M179" s="13">
        <v>1</v>
      </c>
      <c r="N179" s="13">
        <v>1</v>
      </c>
      <c r="O179" s="13">
        <v>0</v>
      </c>
      <c r="P179" s="13">
        <v>1</v>
      </c>
      <c r="Q179" s="37">
        <v>0</v>
      </c>
      <c r="R179" s="13">
        <v>0</v>
      </c>
      <c r="S179" s="13">
        <v>1</v>
      </c>
      <c r="T179" s="13">
        <v>0</v>
      </c>
      <c r="U179" s="13">
        <v>0</v>
      </c>
      <c r="V179" s="13">
        <v>0</v>
      </c>
      <c r="W179" s="13">
        <v>0</v>
      </c>
      <c r="X179" s="13">
        <v>0</v>
      </c>
      <c r="Y179" s="13">
        <v>0</v>
      </c>
      <c r="Z179" s="13">
        <v>0</v>
      </c>
      <c r="AA179" s="13">
        <v>0</v>
      </c>
      <c r="AB179" s="13">
        <v>0</v>
      </c>
      <c r="AC179" s="13">
        <v>0</v>
      </c>
      <c r="AD179" s="13">
        <v>0</v>
      </c>
      <c r="AE179" s="13">
        <v>1</v>
      </c>
      <c r="AF179" s="13" t="s">
        <v>59</v>
      </c>
      <c r="AG179" s="13" t="s">
        <v>59</v>
      </c>
      <c r="AH179" s="13" t="s">
        <v>59</v>
      </c>
      <c r="AI179" s="13" t="s">
        <v>59</v>
      </c>
      <c r="AJ179" s="13">
        <v>0</v>
      </c>
      <c r="AK179" s="13">
        <v>1</v>
      </c>
      <c r="AL179" s="13">
        <v>0</v>
      </c>
      <c r="AM179" s="13">
        <v>1</v>
      </c>
      <c r="AN179" s="13">
        <v>0</v>
      </c>
      <c r="AO179" s="9" t="s">
        <v>59</v>
      </c>
      <c r="AP179" s="9" t="s">
        <v>59</v>
      </c>
      <c r="AQ179" s="9" t="s">
        <v>59</v>
      </c>
      <c r="AR179" s="13"/>
      <c r="AS179" s="13"/>
      <c r="AT179" s="13"/>
      <c r="AU179" s="13"/>
    </row>
    <row r="180" spans="1:47" s="9" customFormat="1" ht="13.75" customHeight="1">
      <c r="A180" s="10" t="s">
        <v>1063</v>
      </c>
      <c r="B180" s="10" t="s">
        <v>1064</v>
      </c>
      <c r="C180" s="10" t="s">
        <v>579</v>
      </c>
      <c r="D180" s="10" t="s">
        <v>1065</v>
      </c>
      <c r="E180" s="16"/>
      <c r="F180" s="16">
        <v>2021</v>
      </c>
      <c r="G180" s="10" t="str">
        <f>HYPERLINK("http://dx.doi.org/10.3390/ijerph18031131","http://dx.doi.org/10.3390/ijerph18031131")</f>
        <v>http://dx.doi.org/10.3390/ijerph18031131</v>
      </c>
      <c r="H180" s="8" t="s">
        <v>124</v>
      </c>
      <c r="I180" s="8" t="s">
        <v>1066</v>
      </c>
      <c r="J180" s="7">
        <v>1</v>
      </c>
      <c r="K180" s="7">
        <v>0</v>
      </c>
      <c r="L180" s="7">
        <v>0</v>
      </c>
      <c r="M180" s="7">
        <v>1</v>
      </c>
      <c r="N180" s="7">
        <v>1</v>
      </c>
      <c r="O180" s="7">
        <v>0</v>
      </c>
      <c r="P180" s="7">
        <v>0</v>
      </c>
      <c r="Q180" s="37" t="s">
        <v>59</v>
      </c>
      <c r="R180" s="7" t="s">
        <v>59</v>
      </c>
      <c r="S180" s="7" t="s">
        <v>59</v>
      </c>
      <c r="T180" s="7">
        <v>0</v>
      </c>
      <c r="U180" s="7">
        <v>0</v>
      </c>
      <c r="V180" s="7">
        <v>0</v>
      </c>
      <c r="W180" s="7">
        <v>0</v>
      </c>
      <c r="X180" s="7">
        <v>0</v>
      </c>
      <c r="Y180" s="7">
        <v>0</v>
      </c>
      <c r="Z180" s="7">
        <v>0</v>
      </c>
      <c r="AA180" s="7">
        <v>0</v>
      </c>
      <c r="AB180" s="7">
        <v>0</v>
      </c>
      <c r="AC180" s="7">
        <v>0</v>
      </c>
      <c r="AD180" s="7">
        <v>0</v>
      </c>
      <c r="AE180" s="7">
        <v>1</v>
      </c>
      <c r="AF180" s="7">
        <v>0</v>
      </c>
      <c r="AG180" s="7">
        <v>1</v>
      </c>
      <c r="AH180" s="7">
        <v>1</v>
      </c>
      <c r="AI180" s="7">
        <v>0</v>
      </c>
      <c r="AJ180" s="7">
        <v>0</v>
      </c>
      <c r="AK180" s="7">
        <v>1</v>
      </c>
      <c r="AL180" s="7">
        <v>0</v>
      </c>
      <c r="AM180" s="7">
        <v>1</v>
      </c>
      <c r="AN180" s="7">
        <v>0</v>
      </c>
      <c r="AO180" s="9" t="s">
        <v>59</v>
      </c>
      <c r="AP180" s="9" t="s">
        <v>59</v>
      </c>
      <c r="AQ180" s="9" t="s">
        <v>59</v>
      </c>
      <c r="AR180" s="7"/>
      <c r="AS180" s="7"/>
      <c r="AT180" s="7"/>
      <c r="AU180" s="7"/>
    </row>
    <row r="181" spans="1:47" s="9" customFormat="1" ht="13.75" customHeight="1">
      <c r="A181" s="10" t="s">
        <v>1067</v>
      </c>
      <c r="B181" s="10" t="s">
        <v>1068</v>
      </c>
      <c r="C181" s="10" t="s">
        <v>120</v>
      </c>
      <c r="D181" s="10" t="s">
        <v>1069</v>
      </c>
      <c r="E181" s="10" t="s">
        <v>1070</v>
      </c>
      <c r="F181" s="16">
        <v>2021</v>
      </c>
      <c r="G181" s="10" t="str">
        <f>HYPERLINK("http://dx.doi.org/10.1016/j.envres.2020.110402","http://dx.doi.org/10.1016/j.envres.2020.110402")</f>
        <v>http://dx.doi.org/10.1016/j.envres.2020.110402</v>
      </c>
      <c r="H181" s="8" t="s">
        <v>124</v>
      </c>
      <c r="I181" s="8" t="s">
        <v>1071</v>
      </c>
      <c r="J181" s="7">
        <v>1</v>
      </c>
      <c r="K181" s="7">
        <v>0</v>
      </c>
      <c r="L181" s="7">
        <v>0</v>
      </c>
      <c r="M181" s="7">
        <v>1</v>
      </c>
      <c r="N181" s="7">
        <v>1</v>
      </c>
      <c r="O181" s="7">
        <v>0</v>
      </c>
      <c r="P181" s="7">
        <v>0</v>
      </c>
      <c r="Q181" s="37" t="s">
        <v>59</v>
      </c>
      <c r="R181" s="7" t="s">
        <v>59</v>
      </c>
      <c r="S181" s="7" t="s">
        <v>59</v>
      </c>
      <c r="T181" s="7">
        <v>0</v>
      </c>
      <c r="U181" s="7">
        <v>0</v>
      </c>
      <c r="V181" s="7">
        <v>0</v>
      </c>
      <c r="W181" s="7">
        <v>0</v>
      </c>
      <c r="X181" s="7">
        <v>0</v>
      </c>
      <c r="Y181" s="7">
        <v>0</v>
      </c>
      <c r="Z181" s="7">
        <v>0</v>
      </c>
      <c r="AA181" s="7">
        <v>0</v>
      </c>
      <c r="AB181" s="7">
        <v>1</v>
      </c>
      <c r="AC181" s="7">
        <v>0</v>
      </c>
      <c r="AD181" s="7">
        <v>0</v>
      </c>
      <c r="AE181" s="7">
        <v>0</v>
      </c>
      <c r="AF181" s="7" t="s">
        <v>59</v>
      </c>
      <c r="AG181" s="7" t="s">
        <v>59</v>
      </c>
      <c r="AH181" s="7" t="s">
        <v>59</v>
      </c>
      <c r="AI181" s="7" t="s">
        <v>59</v>
      </c>
      <c r="AJ181" s="7">
        <v>0</v>
      </c>
      <c r="AK181" s="7">
        <v>1</v>
      </c>
      <c r="AL181" s="7">
        <v>0</v>
      </c>
      <c r="AM181" s="7">
        <v>1</v>
      </c>
      <c r="AN181" s="7">
        <v>0</v>
      </c>
      <c r="AO181" s="9" t="s">
        <v>59</v>
      </c>
      <c r="AP181" s="9" t="s">
        <v>59</v>
      </c>
      <c r="AQ181" s="9" t="s">
        <v>59</v>
      </c>
      <c r="AR181" s="7"/>
      <c r="AS181" s="7"/>
      <c r="AT181" s="7"/>
      <c r="AU181" s="7"/>
    </row>
    <row r="182" spans="1:47" s="9" customFormat="1" ht="13.75" customHeight="1">
      <c r="A182" s="10" t="s">
        <v>1072</v>
      </c>
      <c r="B182" s="10" t="s">
        <v>1073</v>
      </c>
      <c r="C182" s="10" t="s">
        <v>1074</v>
      </c>
      <c r="D182" s="16"/>
      <c r="E182" s="10" t="s">
        <v>1075</v>
      </c>
      <c r="F182" s="16">
        <v>2021</v>
      </c>
      <c r="G182" s="10" t="str">
        <f>HYPERLINK("http://dx.doi.org/10.1021/acs.chemrestox.1c00020","http://dx.doi.org/10.1021/acs.chemrestox.1c00020")</f>
        <v>http://dx.doi.org/10.1021/acs.chemrestox.1c00020</v>
      </c>
      <c r="H182" s="8" t="s">
        <v>1076</v>
      </c>
      <c r="I182" s="8" t="s">
        <v>1077</v>
      </c>
      <c r="J182" s="7">
        <v>1</v>
      </c>
      <c r="K182" s="7">
        <v>0</v>
      </c>
      <c r="L182" s="7">
        <v>1</v>
      </c>
      <c r="M182" s="7">
        <v>0</v>
      </c>
      <c r="N182" s="7" t="s">
        <v>59</v>
      </c>
      <c r="O182" s="7" t="s">
        <v>59</v>
      </c>
      <c r="P182" s="7" t="s">
        <v>59</v>
      </c>
      <c r="Q182" s="37">
        <v>1</v>
      </c>
      <c r="R182" s="7">
        <v>0</v>
      </c>
      <c r="S182" s="7">
        <v>0</v>
      </c>
      <c r="T182" s="7">
        <v>0</v>
      </c>
      <c r="U182" s="7">
        <v>0</v>
      </c>
      <c r="V182" s="7">
        <v>0</v>
      </c>
      <c r="W182" s="7">
        <v>0</v>
      </c>
      <c r="X182" s="7">
        <v>0</v>
      </c>
      <c r="Y182" s="7">
        <v>0</v>
      </c>
      <c r="Z182" s="7">
        <v>0</v>
      </c>
      <c r="AA182" s="7">
        <v>0</v>
      </c>
      <c r="AB182" s="7">
        <v>1</v>
      </c>
      <c r="AC182" s="7">
        <v>0</v>
      </c>
      <c r="AD182" s="7">
        <v>0</v>
      </c>
      <c r="AE182" s="7">
        <v>0</v>
      </c>
      <c r="AF182" s="7" t="s">
        <v>59</v>
      </c>
      <c r="AG182" s="7" t="s">
        <v>59</v>
      </c>
      <c r="AH182" s="7" t="s">
        <v>59</v>
      </c>
      <c r="AI182" s="7" t="s">
        <v>59</v>
      </c>
      <c r="AJ182" s="7">
        <v>0</v>
      </c>
      <c r="AK182" s="7">
        <v>1</v>
      </c>
      <c r="AL182" s="7">
        <v>0</v>
      </c>
      <c r="AM182" s="7">
        <v>1</v>
      </c>
      <c r="AN182" s="7">
        <v>0</v>
      </c>
      <c r="AO182" s="9" t="s">
        <v>59</v>
      </c>
      <c r="AP182" s="9" t="s">
        <v>59</v>
      </c>
      <c r="AQ182" s="9" t="s">
        <v>59</v>
      </c>
      <c r="AR182" s="7"/>
      <c r="AS182" s="7"/>
      <c r="AT182" s="7"/>
      <c r="AU182" s="7"/>
    </row>
    <row r="183" spans="1:47" s="9" customFormat="1" ht="13.75" customHeight="1">
      <c r="A183" s="10" t="s">
        <v>1078</v>
      </c>
      <c r="B183" s="10" t="s">
        <v>1079</v>
      </c>
      <c r="C183" s="10" t="s">
        <v>116</v>
      </c>
      <c r="D183" s="10" t="s">
        <v>1080</v>
      </c>
      <c r="E183" s="10" t="s">
        <v>1081</v>
      </c>
      <c r="F183" s="16">
        <v>2021</v>
      </c>
      <c r="G183" s="10" t="str">
        <f>HYPERLINK("http://dx.doi.org/10.1016/j.atmosenv.2021.118210","http://dx.doi.org/10.1016/j.atmosenv.2021.118210")</f>
        <v>http://dx.doi.org/10.1016/j.atmosenv.2021.118210</v>
      </c>
      <c r="H183" s="8" t="s">
        <v>117</v>
      </c>
      <c r="I183" s="8" t="s">
        <v>1082</v>
      </c>
      <c r="J183" s="7">
        <v>1</v>
      </c>
      <c r="K183" s="7">
        <v>0</v>
      </c>
      <c r="L183" s="7">
        <v>1</v>
      </c>
      <c r="M183" s="7">
        <v>1</v>
      </c>
      <c r="N183" s="7">
        <v>1</v>
      </c>
      <c r="O183" s="7">
        <v>1</v>
      </c>
      <c r="P183" s="7">
        <v>1</v>
      </c>
      <c r="Q183" s="37">
        <v>0</v>
      </c>
      <c r="R183" s="7">
        <v>0</v>
      </c>
      <c r="S183" s="7">
        <v>1</v>
      </c>
      <c r="T183" s="7">
        <v>0</v>
      </c>
      <c r="U183" s="7">
        <v>0</v>
      </c>
      <c r="V183" s="7">
        <v>0</v>
      </c>
      <c r="W183" s="7">
        <v>0</v>
      </c>
      <c r="X183" s="7">
        <v>0</v>
      </c>
      <c r="Y183" s="7">
        <v>0</v>
      </c>
      <c r="Z183" s="7">
        <v>0</v>
      </c>
      <c r="AA183" s="7">
        <v>0</v>
      </c>
      <c r="AB183" s="7">
        <v>0</v>
      </c>
      <c r="AC183" s="7">
        <v>0</v>
      </c>
      <c r="AD183" s="7">
        <v>0</v>
      </c>
      <c r="AE183" s="7">
        <v>1</v>
      </c>
      <c r="AF183" s="7">
        <v>1</v>
      </c>
      <c r="AG183" s="7">
        <v>1</v>
      </c>
      <c r="AH183" s="7">
        <v>0</v>
      </c>
      <c r="AI183" s="7">
        <v>0</v>
      </c>
      <c r="AJ183" s="7">
        <v>0</v>
      </c>
      <c r="AK183" s="7">
        <v>1</v>
      </c>
      <c r="AL183" s="7">
        <v>0</v>
      </c>
      <c r="AM183" s="7">
        <v>1</v>
      </c>
      <c r="AN183" s="7">
        <v>0</v>
      </c>
      <c r="AO183" s="9" t="s">
        <v>59</v>
      </c>
      <c r="AP183" s="9" t="s">
        <v>59</v>
      </c>
      <c r="AQ183" s="9" t="s">
        <v>59</v>
      </c>
      <c r="AR183" s="7"/>
      <c r="AS183" s="7"/>
      <c r="AT183" s="7"/>
      <c r="AU183" s="7"/>
    </row>
    <row r="184" spans="1:47" s="9" customFormat="1" ht="13.75" customHeight="1">
      <c r="A184" s="10" t="s">
        <v>1083</v>
      </c>
      <c r="B184" s="10" t="s">
        <v>1084</v>
      </c>
      <c r="C184" s="10" t="s">
        <v>1085</v>
      </c>
      <c r="D184" s="16"/>
      <c r="E184" s="10" t="s">
        <v>1086</v>
      </c>
      <c r="F184" s="16">
        <v>2021</v>
      </c>
      <c r="G184" s="10" t="str">
        <f>HYPERLINK("http://dx.doi.org/10.1016/j.jbc.2021.101147","http://dx.doi.org/10.1016/j.jbc.2021.101147")</f>
        <v>http://dx.doi.org/10.1016/j.jbc.2021.101147</v>
      </c>
      <c r="H184" s="8" t="s">
        <v>513</v>
      </c>
      <c r="I184" s="8" t="s">
        <v>1087</v>
      </c>
      <c r="J184" s="7">
        <v>1</v>
      </c>
      <c r="K184" s="7">
        <v>0</v>
      </c>
      <c r="L184" s="7">
        <v>0</v>
      </c>
      <c r="M184" s="7">
        <v>1</v>
      </c>
      <c r="N184" s="7" t="s">
        <v>59</v>
      </c>
      <c r="O184" s="7" t="s">
        <v>59</v>
      </c>
      <c r="P184" s="7" t="s">
        <v>59</v>
      </c>
      <c r="Q184" s="37">
        <v>1</v>
      </c>
      <c r="R184" s="7">
        <v>1</v>
      </c>
      <c r="S184" s="7">
        <v>1</v>
      </c>
      <c r="T184" s="7">
        <v>0</v>
      </c>
      <c r="U184" s="7">
        <v>0</v>
      </c>
      <c r="V184" s="7">
        <v>0</v>
      </c>
      <c r="W184" s="7">
        <v>0</v>
      </c>
      <c r="X184" s="7">
        <v>0</v>
      </c>
      <c r="Y184" s="7">
        <v>0</v>
      </c>
      <c r="Z184" s="7">
        <v>0</v>
      </c>
      <c r="AA184" s="7">
        <v>0</v>
      </c>
      <c r="AB184" s="7">
        <v>1</v>
      </c>
      <c r="AC184" s="7">
        <v>0</v>
      </c>
      <c r="AD184" s="7">
        <v>0</v>
      </c>
      <c r="AE184" s="7">
        <v>0</v>
      </c>
      <c r="AF184" s="7" t="s">
        <v>59</v>
      </c>
      <c r="AG184" s="7" t="s">
        <v>59</v>
      </c>
      <c r="AH184" s="7" t="s">
        <v>59</v>
      </c>
      <c r="AI184" s="7" t="s">
        <v>59</v>
      </c>
      <c r="AJ184" s="7">
        <v>0</v>
      </c>
      <c r="AK184" s="7">
        <v>1</v>
      </c>
      <c r="AL184" s="7">
        <v>0</v>
      </c>
      <c r="AM184" s="7">
        <v>1</v>
      </c>
      <c r="AN184" s="7">
        <v>0</v>
      </c>
      <c r="AO184" s="9" t="s">
        <v>59</v>
      </c>
      <c r="AP184" s="9" t="s">
        <v>59</v>
      </c>
      <c r="AQ184" s="9" t="s">
        <v>59</v>
      </c>
      <c r="AR184" s="7"/>
      <c r="AS184" s="7"/>
      <c r="AT184" s="7"/>
      <c r="AU184" s="7"/>
    </row>
    <row r="187" spans="1:47" ht="14">
      <c r="J187" s="52" t="s">
        <v>42</v>
      </c>
      <c r="K187" s="53"/>
      <c r="L187" s="52" t="s">
        <v>43</v>
      </c>
      <c r="M187" s="53"/>
      <c r="N187" s="52" t="s">
        <v>44</v>
      </c>
      <c r="O187" s="53"/>
      <c r="P187" s="54"/>
      <c r="Q187" s="54" t="s">
        <v>45</v>
      </c>
      <c r="R187" s="55"/>
      <c r="S187" s="52"/>
      <c r="T187" s="55" t="s">
        <v>46</v>
      </c>
      <c r="U187" s="55"/>
      <c r="V187" s="55"/>
      <c r="W187" s="55"/>
      <c r="X187" s="55"/>
      <c r="Y187" s="55"/>
      <c r="Z187" s="55"/>
      <c r="AA187" s="55"/>
      <c r="AB187" s="55"/>
      <c r="AC187" s="55"/>
      <c r="AD187" s="55"/>
      <c r="AE187" s="45"/>
      <c r="AF187" s="52" t="s">
        <v>47</v>
      </c>
      <c r="AG187" s="53"/>
      <c r="AH187" s="53"/>
      <c r="AI187" s="53"/>
      <c r="AJ187" s="56" t="s">
        <v>48</v>
      </c>
      <c r="AK187" s="57"/>
      <c r="AL187" s="58"/>
      <c r="AM187" s="48" t="s">
        <v>49</v>
      </c>
      <c r="AN187" s="49"/>
      <c r="AO187" s="50" t="s">
        <v>50</v>
      </c>
      <c r="AP187" s="50"/>
      <c r="AQ187" s="51"/>
    </row>
    <row r="188" spans="1:47">
      <c r="J188" s="2" t="s">
        <v>0</v>
      </c>
      <c r="K188" t="s">
        <v>1</v>
      </c>
      <c r="L188" s="2" t="s">
        <v>2</v>
      </c>
      <c r="M188" t="s">
        <v>3</v>
      </c>
      <c r="N188" s="2" t="s">
        <v>4</v>
      </c>
      <c r="O188" t="s">
        <v>5</v>
      </c>
      <c r="P188" t="s">
        <v>6</v>
      </c>
      <c r="Q188" s="2" t="s">
        <v>7</v>
      </c>
      <c r="R188" t="s">
        <v>8</v>
      </c>
      <c r="S188" s="3" t="s">
        <v>9</v>
      </c>
      <c r="T188" t="s">
        <v>10</v>
      </c>
      <c r="U188" t="s">
        <v>11</v>
      </c>
      <c r="V188" t="s">
        <v>12</v>
      </c>
      <c r="W188" t="s">
        <v>13</v>
      </c>
      <c r="X188" t="s">
        <v>14</v>
      </c>
      <c r="Y188" t="s">
        <v>15</v>
      </c>
      <c r="Z188" t="s">
        <v>16</v>
      </c>
      <c r="AA188" t="s">
        <v>17</v>
      </c>
      <c r="AB188" t="s">
        <v>18</v>
      </c>
      <c r="AC188" t="s">
        <v>19</v>
      </c>
      <c r="AD188" s="3" t="s">
        <v>20</v>
      </c>
      <c r="AE188" s="17" t="s">
        <v>21</v>
      </c>
      <c r="AF188" s="4" t="s">
        <v>22</v>
      </c>
      <c r="AG188" s="4" t="s">
        <v>23</v>
      </c>
      <c r="AH188" s="4" t="s">
        <v>24</v>
      </c>
      <c r="AI188" s="3" t="s">
        <v>25</v>
      </c>
      <c r="AJ188" s="4" t="s">
        <v>26</v>
      </c>
      <c r="AK188" s="4" t="s">
        <v>6</v>
      </c>
      <c r="AL188" s="3" t="s">
        <v>27</v>
      </c>
      <c r="AM188" s="5" t="s">
        <v>28</v>
      </c>
      <c r="AN188" s="5" t="s">
        <v>29</v>
      </c>
      <c r="AO188" s="5" t="s">
        <v>30</v>
      </c>
      <c r="AP188" s="5" t="s">
        <v>31</v>
      </c>
      <c r="AQ188" s="5" t="s">
        <v>32</v>
      </c>
    </row>
    <row r="189" spans="1:47">
      <c r="I189" s="18" t="s">
        <v>1088</v>
      </c>
      <c r="J189" s="1">
        <f>SUM(J3:J184)</f>
        <v>182</v>
      </c>
      <c r="K189" s="1">
        <f t="shared" ref="K189:AP189" si="0">SUM(K3:K184)</f>
        <v>2</v>
      </c>
      <c r="L189" s="1">
        <f t="shared" si="0"/>
        <v>54</v>
      </c>
      <c r="M189" s="1">
        <f>SUM(M3:M184)</f>
        <v>153</v>
      </c>
      <c r="N189" s="1">
        <f t="shared" si="0"/>
        <v>136</v>
      </c>
      <c r="O189" s="1">
        <f t="shared" si="0"/>
        <v>19</v>
      </c>
      <c r="P189" s="1">
        <f t="shared" si="0"/>
        <v>20</v>
      </c>
      <c r="Q189" s="1">
        <f t="shared" si="0"/>
        <v>53</v>
      </c>
      <c r="R189" s="1">
        <f t="shared" si="0"/>
        <v>18</v>
      </c>
      <c r="S189" s="1">
        <f t="shared" si="0"/>
        <v>59</v>
      </c>
      <c r="T189" s="1">
        <f t="shared" si="0"/>
        <v>31</v>
      </c>
      <c r="U189" s="1">
        <f>SUM(U3:U184)</f>
        <v>4</v>
      </c>
      <c r="V189" s="1">
        <f t="shared" si="0"/>
        <v>6</v>
      </c>
      <c r="W189" s="1">
        <f t="shared" si="0"/>
        <v>6</v>
      </c>
      <c r="X189" s="1">
        <f t="shared" si="0"/>
        <v>1</v>
      </c>
      <c r="Y189" s="1">
        <f t="shared" si="0"/>
        <v>1</v>
      </c>
      <c r="Z189" s="1">
        <f t="shared" si="0"/>
        <v>17</v>
      </c>
      <c r="AA189" s="1">
        <f t="shared" si="0"/>
        <v>15</v>
      </c>
      <c r="AB189" s="1">
        <f>SUM(AB3:AB184)</f>
        <v>97</v>
      </c>
      <c r="AC189" s="1">
        <f t="shared" si="0"/>
        <v>4</v>
      </c>
      <c r="AD189" s="1">
        <f t="shared" si="0"/>
        <v>7</v>
      </c>
      <c r="AE189" s="1">
        <f t="shared" si="0"/>
        <v>66</v>
      </c>
      <c r="AF189" s="1">
        <f t="shared" si="0"/>
        <v>62</v>
      </c>
      <c r="AG189" s="1">
        <f t="shared" si="0"/>
        <v>99</v>
      </c>
      <c r="AH189" s="1">
        <f t="shared" si="0"/>
        <v>70</v>
      </c>
      <c r="AI189" s="1">
        <f t="shared" si="0"/>
        <v>23</v>
      </c>
      <c r="AJ189" s="1">
        <f t="shared" si="0"/>
        <v>14</v>
      </c>
      <c r="AK189" s="1">
        <f t="shared" si="0"/>
        <v>113</v>
      </c>
      <c r="AL189" s="1">
        <f>SUM(AL3:AL184)</f>
        <v>70</v>
      </c>
      <c r="AM189" s="1">
        <f t="shared" si="0"/>
        <v>182</v>
      </c>
      <c r="AN189" s="1">
        <f t="shared" si="0"/>
        <v>0</v>
      </c>
      <c r="AO189" s="1">
        <f t="shared" si="0"/>
        <v>0</v>
      </c>
      <c r="AP189" s="1">
        <f t="shared" si="0"/>
        <v>0</v>
      </c>
      <c r="AQ189" s="1">
        <f>SUM(AQ3:AQ184)</f>
        <v>8</v>
      </c>
    </row>
    <row r="190" spans="1:47">
      <c r="I190" s="18" t="s">
        <v>1089</v>
      </c>
      <c r="J190" s="1">
        <v>182</v>
      </c>
      <c r="K190" s="1">
        <v>182</v>
      </c>
      <c r="L190" s="1">
        <v>182</v>
      </c>
      <c r="M190" s="1">
        <v>182</v>
      </c>
      <c r="N190" s="1">
        <v>182</v>
      </c>
      <c r="O190" s="1">
        <v>182</v>
      </c>
      <c r="P190" s="1">
        <v>182</v>
      </c>
      <c r="Q190" s="1">
        <v>182</v>
      </c>
      <c r="R190" s="1">
        <v>182</v>
      </c>
      <c r="S190" s="1">
        <v>182</v>
      </c>
      <c r="T190" s="1">
        <v>182</v>
      </c>
      <c r="U190" s="1">
        <v>182</v>
      </c>
      <c r="V190" s="1">
        <v>182</v>
      </c>
      <c r="W190" s="1">
        <v>182</v>
      </c>
      <c r="X190" s="1">
        <v>182</v>
      </c>
      <c r="Y190" s="1">
        <v>182</v>
      </c>
      <c r="Z190" s="1">
        <v>182</v>
      </c>
      <c r="AA190" s="1">
        <v>182</v>
      </c>
      <c r="AB190" s="1">
        <v>182</v>
      </c>
      <c r="AC190" s="1">
        <v>182</v>
      </c>
      <c r="AD190" s="1">
        <v>182</v>
      </c>
      <c r="AE190" s="1">
        <v>182</v>
      </c>
      <c r="AF190" s="1">
        <v>182</v>
      </c>
      <c r="AG190" s="1">
        <v>182</v>
      </c>
      <c r="AH190" s="1">
        <v>182</v>
      </c>
      <c r="AI190" s="1">
        <v>182</v>
      </c>
      <c r="AJ190" s="1">
        <v>182</v>
      </c>
      <c r="AK190" s="1">
        <v>182</v>
      </c>
      <c r="AL190" s="1">
        <v>182</v>
      </c>
      <c r="AM190" s="1">
        <v>182</v>
      </c>
      <c r="AN190" s="1">
        <v>182</v>
      </c>
      <c r="AO190" s="1">
        <v>182</v>
      </c>
      <c r="AP190" s="1">
        <v>182</v>
      </c>
      <c r="AQ190" s="1">
        <v>182</v>
      </c>
      <c r="AR190" s="1"/>
    </row>
    <row r="191" spans="1:47">
      <c r="I191" s="18" t="s">
        <v>1090</v>
      </c>
      <c r="J191" s="6">
        <f>(J189/J190)*100</f>
        <v>100</v>
      </c>
      <c r="K191" s="6">
        <f>(K189/K190)*100</f>
        <v>1.098901098901099</v>
      </c>
      <c r="L191" s="6">
        <f t="shared" ref="L191:AL191" si="1">(L189/L190)*100</f>
        <v>29.670329670329672</v>
      </c>
      <c r="M191" s="6">
        <f t="shared" si="1"/>
        <v>84.065934065934073</v>
      </c>
      <c r="N191" s="6">
        <f t="shared" si="1"/>
        <v>74.72527472527473</v>
      </c>
      <c r="O191" s="6">
        <f t="shared" si="1"/>
        <v>10.43956043956044</v>
      </c>
      <c r="P191" s="6">
        <f t="shared" si="1"/>
        <v>10.989010989010989</v>
      </c>
      <c r="Q191" s="6">
        <f t="shared" si="1"/>
        <v>29.120879120879124</v>
      </c>
      <c r="R191" s="6">
        <f t="shared" si="1"/>
        <v>9.8901098901098905</v>
      </c>
      <c r="S191" s="6">
        <f t="shared" si="1"/>
        <v>32.417582417582416</v>
      </c>
      <c r="T191" s="6">
        <f t="shared" si="1"/>
        <v>17.032967032967033</v>
      </c>
      <c r="U191" s="6">
        <f t="shared" si="1"/>
        <v>2.197802197802198</v>
      </c>
      <c r="V191" s="6">
        <f t="shared" si="1"/>
        <v>3.296703296703297</v>
      </c>
      <c r="W191" s="6">
        <f t="shared" si="1"/>
        <v>3.296703296703297</v>
      </c>
      <c r="X191" s="6">
        <f t="shared" si="1"/>
        <v>0.5494505494505495</v>
      </c>
      <c r="Y191" s="6">
        <f t="shared" si="1"/>
        <v>0.5494505494505495</v>
      </c>
      <c r="Z191" s="6">
        <f t="shared" si="1"/>
        <v>9.3406593406593412</v>
      </c>
      <c r="AA191" s="6">
        <f t="shared" si="1"/>
        <v>8.2417582417582409</v>
      </c>
      <c r="AB191" s="6">
        <f t="shared" si="1"/>
        <v>53.296703296703299</v>
      </c>
      <c r="AC191" s="6">
        <f t="shared" si="1"/>
        <v>2.197802197802198</v>
      </c>
      <c r="AD191" s="6">
        <f t="shared" si="1"/>
        <v>3.8461538461538463</v>
      </c>
      <c r="AE191" s="6">
        <f t="shared" si="1"/>
        <v>36.263736263736263</v>
      </c>
      <c r="AF191" s="6">
        <f t="shared" si="1"/>
        <v>34.065934065934066</v>
      </c>
      <c r="AG191" s="6">
        <f t="shared" si="1"/>
        <v>54.395604395604394</v>
      </c>
      <c r="AH191" s="6">
        <f t="shared" si="1"/>
        <v>38.461538461538467</v>
      </c>
      <c r="AI191" s="6">
        <f t="shared" si="1"/>
        <v>12.637362637362637</v>
      </c>
      <c r="AJ191" s="6">
        <f t="shared" si="1"/>
        <v>7.6923076923076925</v>
      </c>
      <c r="AK191" s="6">
        <f t="shared" si="1"/>
        <v>62.087912087912088</v>
      </c>
      <c r="AL191" s="6">
        <f t="shared" si="1"/>
        <v>38.461538461538467</v>
      </c>
      <c r="AM191" s="6">
        <f>(AM189/AM190)*100</f>
        <v>100</v>
      </c>
      <c r="AN191" s="6">
        <f t="shared" ref="AN191:AQ191" si="2">(AN189/AN190)*100</f>
        <v>0</v>
      </c>
      <c r="AO191" s="6">
        <f t="shared" si="2"/>
        <v>0</v>
      </c>
      <c r="AP191" s="6">
        <f t="shared" si="2"/>
        <v>0</v>
      </c>
      <c r="AQ191" s="6">
        <f t="shared" si="2"/>
        <v>4.395604395604396</v>
      </c>
    </row>
    <row r="193" spans="9:52" ht="13">
      <c r="J193" s="46" t="s">
        <v>42</v>
      </c>
      <c r="K193" s="46"/>
      <c r="L193" s="46"/>
      <c r="M193" s="46" t="s">
        <v>43</v>
      </c>
      <c r="N193" s="46"/>
      <c r="O193" s="46"/>
      <c r="P193" s="46" t="s">
        <v>44</v>
      </c>
      <c r="Q193" s="46"/>
      <c r="R193" s="46"/>
      <c r="S193" s="46"/>
      <c r="T193" s="46" t="s">
        <v>45</v>
      </c>
      <c r="U193" s="46"/>
      <c r="V193" s="46"/>
      <c r="W193" s="46"/>
      <c r="X193" s="46" t="s">
        <v>46</v>
      </c>
      <c r="Y193" s="46"/>
      <c r="Z193" s="46"/>
      <c r="AA193" s="46"/>
      <c r="AB193" s="46"/>
      <c r="AC193" s="46"/>
      <c r="AD193" s="46"/>
      <c r="AE193" s="46"/>
      <c r="AF193" s="46"/>
      <c r="AG193" s="46"/>
      <c r="AH193" s="46"/>
      <c r="AI193" s="46"/>
      <c r="AJ193" s="46"/>
      <c r="AK193" s="46" t="s">
        <v>47</v>
      </c>
      <c r="AL193" s="46"/>
      <c r="AM193" s="46"/>
      <c r="AN193" s="46"/>
      <c r="AO193" s="46"/>
      <c r="AP193" s="46" t="s">
        <v>48</v>
      </c>
      <c r="AQ193" s="46"/>
      <c r="AR193" s="46"/>
      <c r="AS193" s="46"/>
      <c r="AT193" s="46" t="s">
        <v>49</v>
      </c>
      <c r="AU193" s="46"/>
      <c r="AV193" s="46"/>
      <c r="AW193" s="47"/>
      <c r="AX193" s="47"/>
      <c r="AY193" s="47"/>
      <c r="AZ193" s="47"/>
    </row>
    <row r="194" spans="9:52">
      <c r="J194" t="s">
        <v>0</v>
      </c>
      <c r="K194" t="s">
        <v>1</v>
      </c>
      <c r="L194" s="18" t="s">
        <v>1091</v>
      </c>
      <c r="M194" s="2" t="s">
        <v>2</v>
      </c>
      <c r="N194" t="s">
        <v>3</v>
      </c>
      <c r="O194" s="18" t="s">
        <v>1091</v>
      </c>
      <c r="P194" s="2" t="s">
        <v>4</v>
      </c>
      <c r="Q194" t="s">
        <v>5</v>
      </c>
      <c r="R194" t="s">
        <v>6</v>
      </c>
      <c r="S194" s="18" t="s">
        <v>1091</v>
      </c>
      <c r="T194" s="2" t="s">
        <v>7</v>
      </c>
      <c r="U194" t="s">
        <v>8</v>
      </c>
      <c r="V194" s="3" t="s">
        <v>9</v>
      </c>
      <c r="W194" s="18" t="s">
        <v>1091</v>
      </c>
      <c r="X194" t="s">
        <v>10</v>
      </c>
      <c r="Y194" t="s">
        <v>11</v>
      </c>
      <c r="Z194" t="s">
        <v>12</v>
      </c>
      <c r="AA194" t="s">
        <v>13</v>
      </c>
      <c r="AB194" t="s">
        <v>14</v>
      </c>
      <c r="AC194" t="s">
        <v>15</v>
      </c>
      <c r="AD194" t="s">
        <v>16</v>
      </c>
      <c r="AE194" t="s">
        <v>17</v>
      </c>
      <c r="AF194" t="s">
        <v>18</v>
      </c>
      <c r="AG194" t="s">
        <v>19</v>
      </c>
      <c r="AH194" s="3" t="s">
        <v>20</v>
      </c>
      <c r="AI194" s="17" t="s">
        <v>21</v>
      </c>
      <c r="AJ194" s="18" t="s">
        <v>1091</v>
      </c>
      <c r="AK194" s="4" t="s">
        <v>22</v>
      </c>
      <c r="AL194" s="4" t="s">
        <v>23</v>
      </c>
      <c r="AM194" s="4" t="s">
        <v>24</v>
      </c>
      <c r="AN194" s="3" t="s">
        <v>25</v>
      </c>
      <c r="AO194" s="18" t="s">
        <v>1091</v>
      </c>
      <c r="AP194" s="4" t="s">
        <v>26</v>
      </c>
      <c r="AQ194" s="4" t="s">
        <v>6</v>
      </c>
      <c r="AR194" s="3" t="s">
        <v>27</v>
      </c>
      <c r="AS194" s="18" t="s">
        <v>1091</v>
      </c>
      <c r="AT194" t="s">
        <v>28</v>
      </c>
      <c r="AU194" t="s">
        <v>29</v>
      </c>
      <c r="AV194" s="18" t="s">
        <v>1091</v>
      </c>
      <c r="AW194" s="38"/>
      <c r="AX194" s="38"/>
      <c r="AY194" s="38"/>
      <c r="AZ194" s="39"/>
    </row>
    <row r="195" spans="9:52">
      <c r="I195" s="18" t="s">
        <v>1088</v>
      </c>
      <c r="J195" s="1">
        <f>SUM(J3:J184)</f>
        <v>182</v>
      </c>
      <c r="K195" s="1">
        <f>SUM(K3:K184)</f>
        <v>2</v>
      </c>
      <c r="L195">
        <f>COUNTIF(K3:K184, "NA")</f>
        <v>0</v>
      </c>
      <c r="M195" s="1">
        <v>54</v>
      </c>
      <c r="N195" s="1">
        <v>153</v>
      </c>
      <c r="O195">
        <f>COUNTIF(M3:M184, "NA")</f>
        <v>6</v>
      </c>
      <c r="P195" s="1">
        <f>SUM(N3:N184)</f>
        <v>136</v>
      </c>
      <c r="Q195" s="1">
        <f>SUM(O3:O184)</f>
        <v>19</v>
      </c>
      <c r="R195" s="1">
        <f>SUM(P3:P184)</f>
        <v>20</v>
      </c>
      <c r="S195">
        <f>COUNTIF(P3:P184, "NA")</f>
        <v>33</v>
      </c>
      <c r="T195" s="1">
        <f>SUM(Q3:Q184)</f>
        <v>53</v>
      </c>
      <c r="U195" s="1">
        <f>SUM(R3:R184)</f>
        <v>18</v>
      </c>
      <c r="V195" s="1">
        <f>SUM(S3:S184)</f>
        <v>59</v>
      </c>
      <c r="W195">
        <f>COUNTIF(S3:S184, "NA")</f>
        <v>111</v>
      </c>
      <c r="X195" s="1">
        <f t="shared" ref="X195:AI195" si="3">SUM(T3:T184)</f>
        <v>31</v>
      </c>
      <c r="Y195" s="1">
        <f t="shared" si="3"/>
        <v>4</v>
      </c>
      <c r="Z195" s="1">
        <f t="shared" si="3"/>
        <v>6</v>
      </c>
      <c r="AA195" s="1">
        <f t="shared" si="3"/>
        <v>6</v>
      </c>
      <c r="AB195" s="1">
        <f t="shared" si="3"/>
        <v>1</v>
      </c>
      <c r="AC195" s="1">
        <f t="shared" si="3"/>
        <v>1</v>
      </c>
      <c r="AD195" s="1">
        <f t="shared" si="3"/>
        <v>17</v>
      </c>
      <c r="AE195" s="1">
        <f t="shared" si="3"/>
        <v>15</v>
      </c>
      <c r="AF195" s="1">
        <f t="shared" si="3"/>
        <v>97</v>
      </c>
      <c r="AG195" s="1">
        <f t="shared" si="3"/>
        <v>4</v>
      </c>
      <c r="AH195" s="1">
        <f t="shared" si="3"/>
        <v>7</v>
      </c>
      <c r="AI195" s="1">
        <f t="shared" si="3"/>
        <v>66</v>
      </c>
      <c r="AJ195">
        <f>COUNTIF(AD3:AD184, "NA")</f>
        <v>5</v>
      </c>
      <c r="AK195" s="1">
        <f>SUM(AF3:AF184)</f>
        <v>62</v>
      </c>
      <c r="AL195" s="1">
        <f>SUM(AG3:AG184)</f>
        <v>99</v>
      </c>
      <c r="AM195" s="1">
        <f>SUM(AH3:AH184)</f>
        <v>70</v>
      </c>
      <c r="AN195" s="1">
        <f>SUM(AI3:AI184)</f>
        <v>23</v>
      </c>
      <c r="AO195">
        <f>COUNTIF(AI3:AI184, "NA")</f>
        <v>58</v>
      </c>
      <c r="AP195" s="1">
        <v>14</v>
      </c>
      <c r="AQ195" s="1">
        <v>113</v>
      </c>
      <c r="AR195" s="1">
        <v>70</v>
      </c>
      <c r="AS195">
        <f>COUNTIF(AK3:AK184, "NA")</f>
        <v>0</v>
      </c>
      <c r="AT195">
        <v>182</v>
      </c>
      <c r="AU195">
        <v>0</v>
      </c>
      <c r="AW195" s="38"/>
      <c r="AX195" s="38"/>
      <c r="AY195" s="38"/>
      <c r="AZ195" s="38"/>
    </row>
    <row r="196" spans="9:52">
      <c r="I196" s="18" t="s">
        <v>1089</v>
      </c>
      <c r="J196" s="1">
        <v>182</v>
      </c>
      <c r="K196" s="1">
        <v>182</v>
      </c>
      <c r="L196" s="1">
        <v>182</v>
      </c>
      <c r="M196" s="1">
        <v>182</v>
      </c>
      <c r="N196" s="1">
        <v>182</v>
      </c>
      <c r="O196" s="1">
        <v>182</v>
      </c>
      <c r="P196" s="1">
        <v>182</v>
      </c>
      <c r="Q196" s="1">
        <v>182</v>
      </c>
      <c r="R196" s="1">
        <v>182</v>
      </c>
      <c r="S196" s="1">
        <v>182</v>
      </c>
      <c r="T196" s="1">
        <v>182</v>
      </c>
      <c r="U196" s="1">
        <v>182</v>
      </c>
      <c r="V196" s="1">
        <v>182</v>
      </c>
      <c r="W196" s="1">
        <v>182</v>
      </c>
      <c r="X196" s="1">
        <v>182</v>
      </c>
      <c r="Y196" s="1">
        <v>182</v>
      </c>
      <c r="Z196" s="1">
        <v>182</v>
      </c>
      <c r="AA196" s="1">
        <v>182</v>
      </c>
      <c r="AB196" s="1">
        <v>182</v>
      </c>
      <c r="AC196" s="1">
        <v>182</v>
      </c>
      <c r="AD196" s="1">
        <v>182</v>
      </c>
      <c r="AE196" s="1">
        <v>182</v>
      </c>
      <c r="AF196" s="1">
        <v>182</v>
      </c>
      <c r="AG196" s="1">
        <v>182</v>
      </c>
      <c r="AH196" s="1">
        <v>182</v>
      </c>
      <c r="AI196" s="1">
        <v>182</v>
      </c>
      <c r="AJ196" s="1">
        <v>182</v>
      </c>
      <c r="AK196" s="1">
        <v>182</v>
      </c>
      <c r="AL196" s="1">
        <v>182</v>
      </c>
      <c r="AM196" s="1">
        <v>182</v>
      </c>
      <c r="AN196" s="1">
        <v>182</v>
      </c>
      <c r="AO196" s="1">
        <v>182</v>
      </c>
      <c r="AP196" s="1">
        <v>182</v>
      </c>
      <c r="AQ196" s="1">
        <v>182</v>
      </c>
      <c r="AR196" s="1">
        <v>182</v>
      </c>
      <c r="AS196" s="1">
        <v>182</v>
      </c>
      <c r="AT196" s="1">
        <v>182</v>
      </c>
      <c r="AU196" s="1">
        <v>182</v>
      </c>
      <c r="AV196" s="1">
        <v>182</v>
      </c>
      <c r="AW196" s="40"/>
      <c r="AX196" s="40"/>
      <c r="AY196" s="40"/>
      <c r="AZ196" s="40"/>
    </row>
    <row r="197" spans="9:52">
      <c r="I197" s="18" t="s">
        <v>1090</v>
      </c>
      <c r="J197" s="6">
        <f>(J195/J196)*100</f>
        <v>100</v>
      </c>
      <c r="K197" s="6">
        <f>(K195/K196)*100</f>
        <v>1.098901098901099</v>
      </c>
      <c r="L197" s="6">
        <f>(L195/L196)*100</f>
        <v>0</v>
      </c>
      <c r="M197" s="6">
        <f t="shared" ref="M197:O197" si="4">(M195/M196)*100</f>
        <v>29.670329670329672</v>
      </c>
      <c r="N197" s="6">
        <f t="shared" si="4"/>
        <v>84.065934065934073</v>
      </c>
      <c r="O197" s="6">
        <f t="shared" si="4"/>
        <v>3.296703296703297</v>
      </c>
      <c r="P197" s="6">
        <f t="shared" ref="P197:S197" si="5">(P195/P196)*100</f>
        <v>74.72527472527473</v>
      </c>
      <c r="Q197" s="6">
        <f t="shared" si="5"/>
        <v>10.43956043956044</v>
      </c>
      <c r="R197" s="6">
        <f t="shared" si="5"/>
        <v>10.989010989010989</v>
      </c>
      <c r="S197" s="6">
        <f t="shared" si="5"/>
        <v>18.131868131868131</v>
      </c>
      <c r="T197" s="6">
        <f t="shared" ref="T197:W197" si="6">(T195/T196)*100</f>
        <v>29.120879120879124</v>
      </c>
      <c r="U197" s="6">
        <f t="shared" si="6"/>
        <v>9.8901098901098905</v>
      </c>
      <c r="V197" s="6">
        <f t="shared" si="6"/>
        <v>32.417582417582416</v>
      </c>
      <c r="W197" s="6">
        <f t="shared" si="6"/>
        <v>60.989010989010993</v>
      </c>
      <c r="X197" s="6">
        <f t="shared" ref="X197:AJ197" si="7">(X195/X196)*100</f>
        <v>17.032967032967033</v>
      </c>
      <c r="Y197" s="6">
        <f t="shared" si="7"/>
        <v>2.197802197802198</v>
      </c>
      <c r="Z197" s="6">
        <f t="shared" si="7"/>
        <v>3.296703296703297</v>
      </c>
      <c r="AA197" s="6">
        <f t="shared" si="7"/>
        <v>3.296703296703297</v>
      </c>
      <c r="AB197" s="6">
        <f t="shared" si="7"/>
        <v>0.5494505494505495</v>
      </c>
      <c r="AC197" s="6">
        <f t="shared" si="7"/>
        <v>0.5494505494505495</v>
      </c>
      <c r="AD197" s="6">
        <f t="shared" si="7"/>
        <v>9.3406593406593412</v>
      </c>
      <c r="AE197" s="6">
        <f t="shared" si="7"/>
        <v>8.2417582417582409</v>
      </c>
      <c r="AF197" s="6">
        <f t="shared" si="7"/>
        <v>53.296703296703299</v>
      </c>
      <c r="AG197" s="6">
        <f t="shared" si="7"/>
        <v>2.197802197802198</v>
      </c>
      <c r="AH197" s="6">
        <f t="shared" si="7"/>
        <v>3.8461538461538463</v>
      </c>
      <c r="AI197" s="6">
        <f t="shared" si="7"/>
        <v>36.263736263736263</v>
      </c>
      <c r="AJ197" s="6">
        <f t="shared" si="7"/>
        <v>2.7472527472527473</v>
      </c>
      <c r="AK197" s="6">
        <f t="shared" ref="AK197:AO197" si="8">(AK195/AK196)*100</f>
        <v>34.065934065934066</v>
      </c>
      <c r="AL197" s="6">
        <f t="shared" si="8"/>
        <v>54.395604395604394</v>
      </c>
      <c r="AM197" s="6">
        <f t="shared" si="8"/>
        <v>38.461538461538467</v>
      </c>
      <c r="AN197" s="6">
        <f t="shared" si="8"/>
        <v>12.637362637362637</v>
      </c>
      <c r="AO197" s="6">
        <f t="shared" si="8"/>
        <v>31.868131868131865</v>
      </c>
      <c r="AP197" s="6">
        <f t="shared" ref="AP197:AR197" si="9">(AP195/AP196)*100</f>
        <v>7.6923076923076925</v>
      </c>
      <c r="AQ197" s="6">
        <f t="shared" si="9"/>
        <v>62.087912087912088</v>
      </c>
      <c r="AR197" s="6">
        <f t="shared" si="9"/>
        <v>38.461538461538467</v>
      </c>
      <c r="AS197" s="6">
        <f>100-(AP197+AQ197+AR197)</f>
        <v>-8.241758241758248</v>
      </c>
      <c r="AT197" s="6">
        <v>93.75</v>
      </c>
      <c r="AU197" s="6">
        <v>6.25</v>
      </c>
      <c r="AV197" s="6">
        <f>100-(AT197+AU197)</f>
        <v>0</v>
      </c>
      <c r="AW197" s="41"/>
      <c r="AX197" s="41"/>
      <c r="AY197" s="41"/>
      <c r="AZ197" s="41"/>
    </row>
    <row r="198" spans="9:52">
      <c r="AW198" s="38"/>
      <c r="AX198" s="38"/>
      <c r="AY198" s="38"/>
      <c r="AZ198" s="38"/>
    </row>
  </sheetData>
  <mergeCells count="27">
    <mergeCell ref="AJ2:AL2"/>
    <mergeCell ref="AM2:AN2"/>
    <mergeCell ref="AO2:AQ2"/>
    <mergeCell ref="J187:K187"/>
    <mergeCell ref="L187:M187"/>
    <mergeCell ref="N187:P187"/>
    <mergeCell ref="Q187:S187"/>
    <mergeCell ref="T187:AD187"/>
    <mergeCell ref="AF187:AI187"/>
    <mergeCell ref="AJ187:AL187"/>
    <mergeCell ref="J2:K2"/>
    <mergeCell ref="L2:M2"/>
    <mergeCell ref="N2:P2"/>
    <mergeCell ref="Q2:S2"/>
    <mergeCell ref="T2:AD2"/>
    <mergeCell ref="AF2:AI2"/>
    <mergeCell ref="AT193:AV193"/>
    <mergeCell ref="AW193:AZ193"/>
    <mergeCell ref="AM187:AN187"/>
    <mergeCell ref="AO187:AQ187"/>
    <mergeCell ref="J193:L193"/>
    <mergeCell ref="M193:O193"/>
    <mergeCell ref="P193:S193"/>
    <mergeCell ref="T193:W193"/>
    <mergeCell ref="X193:AJ193"/>
    <mergeCell ref="AK193:AO193"/>
    <mergeCell ref="AP193:AS193"/>
  </mergeCells>
  <hyperlinks>
    <hyperlink ref="G21" r:id="rId1" display="http://dx.doi.org/10.1111/jcap.70002" xr:uid="{DE0F7014-4EA8-4686-9686-368789DB2B33}"/>
    <hyperlink ref="G22" r:id="rId2" display="http://dx.doi.org/10.1186/s42408-023-00234-y" xr:uid="{0B6D4B3F-5A25-4471-AE54-DA8D05CFE81A}"/>
    <hyperlink ref="G23" r:id="rId3" display="http://dx.doi.org/10.1029/2023GH000997" xr:uid="{36A4ED70-33C6-4D15-961E-1A19FE24994D}"/>
    <hyperlink ref="G24" r:id="rId4" display="http://dx.doi.org/10.1021/acs.est.4c05922" xr:uid="{D9E044C0-69D1-458F-891C-8F92A71783DF}"/>
    <hyperlink ref="G3" r:id="rId5" display="http://dx.doi.org/10.1021/acs.est.4c10304" xr:uid="{CBA545A7-CC6E-4594-92F8-F8A01ECBB8A6}"/>
    <hyperlink ref="G25" r:id="rId6" display="http://dx.doi.org/10.1016/j.scitotenv.2024.174197" xr:uid="{301AE97A-896E-4AAE-8F62-905C2A7C7EEB}"/>
    <hyperlink ref="G26" r:id="rId7" display="http://dx.doi.org/10.1016/j.ecoenv.2024.117023" xr:uid="{3AA6C9B0-B22D-4094-8B67-096ABC449A39}"/>
    <hyperlink ref="G27" r:id="rId8" display="http://dx.doi.org/10.15326/jcopdf.2024.0509" xr:uid="{5D635B05-8C35-4B76-8B43-042BCB0C23B2}"/>
    <hyperlink ref="G28" r:id="rId9" display="http://dx.doi.org/10.1038/s43247-024-01361-3" xr:uid="{4C923E0A-FE63-4337-8E4E-7BB4A0086EE3}"/>
    <hyperlink ref="G4" r:id="rId10" display="http://dx.doi.org/10.1161/JAHA.124.036264" xr:uid="{4A94C4E2-BF50-44E3-8D39-B1DA13EB0B52}"/>
    <hyperlink ref="G29" r:id="rId11" display="http://dx.doi.org/10.1021/acs.estlett.3c00923" xr:uid="{BE4BFF52-535D-4033-A995-9849777B4A8C}"/>
    <hyperlink ref="G30" r:id="rId12" display="http://dx.doi.org/10.1007/s10389-024-02343-7" xr:uid="{9CFEEDBB-89D4-4A6F-90A1-2BC54AED3CB9}"/>
    <hyperlink ref="G6" r:id="rId13" display="http://dx.doi.org/10.3390/fire8030097" xr:uid="{6AC9D35D-4D50-4FC5-B32D-E808FDD24FC4}"/>
    <hyperlink ref="G31" r:id="rId14" display="http://dx.doi.org/10.1016/j.envres.2024.119094" xr:uid="{0F504083-CF8A-4F10-8917-FAFC5852BA2B}"/>
    <hyperlink ref="G7" r:id="rId15" display="http://dx.doi.org/10.1016/j.jhazmat.2024.136486" xr:uid="{81375EC7-A6DE-4F27-B87C-A1CF42B5C40C}"/>
    <hyperlink ref="G32" r:id="rId16" display="http://dx.doi.org/10.1021/acs.estlett.4c00785" xr:uid="{7B7A4A29-240C-41DC-A5A5-8B79319FCB22}"/>
    <hyperlink ref="G8" r:id="rId17" display="http://dx.doi.org/10.1016/j.neuro.2025.03.005" xr:uid="{4FABEAE9-1BBC-4552-AE03-DB34A7F9A3E8}"/>
    <hyperlink ref="G9" r:id="rId18" display="http://dx.doi.org/10.1016/j.envpol.2025.125887" xr:uid="{230AD0EF-DD60-4586-9066-AE13001E27E2}"/>
    <hyperlink ref="G10" r:id="rId19" display="http://dx.doi.org/10.1002/ohn.1191" xr:uid="{B0E3DC60-E228-4B9B-96EF-89728914403B}"/>
    <hyperlink ref="G12" r:id="rId20" display="http://dx.doi.org/10.1021/acs.est.4c08675" xr:uid="{7C86D17A-ADCB-4679-BEC1-6997A9CDAF14}"/>
    <hyperlink ref="G13" r:id="rId21" display="http://dx.doi.org/10.1097/EE9.0000000000000362" xr:uid="{DBD279A4-4E28-4DD5-94D1-DA991A764CA7}"/>
    <hyperlink ref="G14" r:id="rId22" display="http://dx.doi.org/10.1038/s43247-025-02100-y" xr:uid="{D0371BCD-9E30-4333-959F-9068708C25B7}"/>
    <hyperlink ref="G15" r:id="rId23" display="http://dx.doi.org/10.1093/aje/kwae261" xr:uid="{56D9E68A-7F3C-4846-9941-4131E23D48EA}"/>
    <hyperlink ref="G16" r:id="rId24" display="http://dx.doi.org/10.1016/j.joclim.2024.100328" xr:uid="{C9E369FB-B4D7-4689-AE4F-8173F61C61A3}"/>
    <hyperlink ref="G17" r:id="rId25" display="http://dx.doi.org/10.1007/s00267-025-02119-z" xr:uid="{773F585B-0128-411C-9680-834209615856}"/>
    <hyperlink ref="G18" r:id="rId26" display="http://dx.doi.org/10.1061/JMENEA.MEENG-6340" xr:uid="{524C0EA2-2588-4AF0-B754-4CFBABE00ED2}"/>
    <hyperlink ref="G19" r:id="rId27" display="http://dx.doi.org/10.1039/d4ea00124a" xr:uid="{CAA4B095-4086-4923-B177-7D267EE30E35}"/>
    <hyperlink ref="G33" r:id="rId28" xr:uid="{CE675285-5013-4B03-92F6-74C672B73F59}"/>
    <hyperlink ref="G34" r:id="rId29" xr:uid="{72F56198-29D5-4CDE-A04E-96A0D491B2D2}"/>
    <hyperlink ref="G35" r:id="rId30" xr:uid="{C979A48A-8C63-4557-9253-A1EAE0D2D741}"/>
    <hyperlink ref="G36" r:id="rId31" xr:uid="{A59A4EB2-13FE-46D2-B078-FCB6C54F99FB}"/>
    <hyperlink ref="G37" r:id="rId32" xr:uid="{13B5FB3F-47E7-446C-8ADB-CE98B1851A40}"/>
    <hyperlink ref="G38" r:id="rId33" xr:uid="{BF01CD6D-BB5A-4F3C-8E0C-E309D1AB1577}"/>
    <hyperlink ref="G39" r:id="rId34" xr:uid="{55B84B61-65B7-4D50-9F83-625F16D88738}"/>
    <hyperlink ref="G40" r:id="rId35" display="http://dx.doi.org/10.1016/j.jhazmat.2024.136290" xr:uid="{67D50C50-5A17-494E-8932-10CB922CA4EE}"/>
    <hyperlink ref="G41" r:id="rId36" display="http://dx.doi.org/10.3390/fire7080277" xr:uid="{346CA4E6-1B90-4A57-8DC9-E493A907D7D2}"/>
    <hyperlink ref="G42" r:id="rId37" display="http://dx.doi.org/10.1029/2023EF003778" xr:uid="{ADB91589-2D3F-47A7-AB6C-4F02CCBF88F8}"/>
    <hyperlink ref="G43" r:id="rId38" display="http://dx.doi.org/10.1038/s44220-024-00210-8" xr:uid="{267328F4-00B5-4992-B810-976AE100E8CF}"/>
    <hyperlink ref="G71" r:id="rId39" xr:uid="{ECBF2975-7B7E-4D87-980B-8585E16E2D7F}"/>
    <hyperlink ref="G72" r:id="rId40" xr:uid="{D5BA02D0-DC6F-4500-99E7-94C2EFA06D8B}"/>
    <hyperlink ref="G73" r:id="rId41" xr:uid="{DF767DB2-CEB1-4E4A-B3A7-F65A0E069BE1}"/>
    <hyperlink ref="G76" r:id="rId42" xr:uid="{917A3F48-8AEB-44DF-A08F-EE95A4352437}"/>
    <hyperlink ref="G78" r:id="rId43" xr:uid="{87BBE3F0-1D2E-4EEB-90C9-13F694661324}"/>
    <hyperlink ref="G79" r:id="rId44" xr:uid="{A4371D37-E2C3-468B-BBD7-64CA567A716E}"/>
    <hyperlink ref="G80" r:id="rId45" xr:uid="{7D4A7C4D-6A73-4258-86F3-DDED99F30552}"/>
    <hyperlink ref="G81" r:id="rId46" xr:uid="{985593C6-7956-467E-B9E3-90F6EB56CA70}"/>
    <hyperlink ref="G82" r:id="rId47" xr:uid="{ADB5E91E-C4FA-4226-89BD-9658002D9E9B}"/>
    <hyperlink ref="G83" r:id="rId48" xr:uid="{627141F1-5D6D-4768-B1C1-8EDEED9DACF0}"/>
    <hyperlink ref="G84" r:id="rId49" xr:uid="{B50C0CB1-CE95-4703-A5EF-43F44E6AD711}"/>
    <hyperlink ref="G85" r:id="rId50" xr:uid="{D0BE1BBF-02FE-49A3-A9F1-C59EDFD2BD42}"/>
    <hyperlink ref="G86" r:id="rId51" xr:uid="{49971C6A-F2D0-43B9-B140-EA4CA163D653}"/>
    <hyperlink ref="G87" r:id="rId52" xr:uid="{044ABFBC-4A9A-4FA9-A5D2-7A0EFF27E82A}"/>
    <hyperlink ref="G89" r:id="rId53" xr:uid="{DBC9011A-64A8-47F6-9A4E-D748E4ECCC46}"/>
    <hyperlink ref="G90" r:id="rId54" xr:uid="{2ABEA269-AACB-4179-8F92-7940FAAA9710}"/>
    <hyperlink ref="G91" r:id="rId55" xr:uid="{30116404-094B-4814-A5CA-2113FC2B0DAC}"/>
    <hyperlink ref="G93" r:id="rId56" xr:uid="{99AABA2B-2242-427A-A4FF-99AB8B8D15AE}"/>
    <hyperlink ref="G96" r:id="rId57" xr:uid="{AC0800B2-EB25-4614-A396-192105E24279}"/>
    <hyperlink ref="G97" r:id="rId58" xr:uid="{8B14FCE0-733F-4BFA-BC2E-0EF4C240FBE7}"/>
    <hyperlink ref="G98" r:id="rId59" xr:uid="{2CBD6CCD-2722-4901-936F-13E54933D562}"/>
    <hyperlink ref="G99" r:id="rId60" xr:uid="{86F67EFE-6762-48DD-AE33-1B99C0B81C4D}"/>
    <hyperlink ref="G100" r:id="rId61" xr:uid="{15053E6C-EF80-4F6E-98A6-290BCE052142}"/>
    <hyperlink ref="G101" r:id="rId62" xr:uid="{092D4E10-02F4-4E4C-8593-9F6BF23A3072}"/>
    <hyperlink ref="G102" r:id="rId63" xr:uid="{C8C917EB-5B54-46F6-804F-65A243CC339D}"/>
    <hyperlink ref="G104" r:id="rId64" xr:uid="{E169FF19-4CB0-49D4-9639-873CE644977A}"/>
    <hyperlink ref="G105" r:id="rId65" xr:uid="{06225C84-7B34-4C40-B5AD-EF20636D33F0}"/>
    <hyperlink ref="G106" r:id="rId66" xr:uid="{08844DA7-C584-4169-8496-B39E12B83034}"/>
    <hyperlink ref="G108" r:id="rId67" xr:uid="{A43C5AC5-9C0D-4525-A022-4E0A9154EE70}"/>
    <hyperlink ref="G109" r:id="rId68" xr:uid="{C44DD386-B15F-43B6-BD3B-D51A5F6003A3}"/>
    <hyperlink ref="G110" r:id="rId69" xr:uid="{B8845C9E-A77A-42F0-920D-71B0804E57B8}"/>
    <hyperlink ref="G111" r:id="rId70" xr:uid="{009135FC-5D45-431C-845E-13F9ABB1929A}"/>
    <hyperlink ref="G113" r:id="rId71" xr:uid="{E5C8EF5B-3293-4E5F-AADC-8983FCA27810}"/>
    <hyperlink ref="G115" r:id="rId72" xr:uid="{DC7DD0FB-4D6E-40E5-BC5D-D58BA1A32BA8}"/>
    <hyperlink ref="G116" r:id="rId73" xr:uid="{74FD6B23-5015-49D3-A443-FE49F912AC25}"/>
    <hyperlink ref="G117" r:id="rId74" xr:uid="{46C5EB8E-BD0D-4EE0-8CDB-4D1A5953D384}"/>
    <hyperlink ref="G118" r:id="rId75" xr:uid="{6C4709F9-1F09-4695-8FBB-BA101F03C8DF}"/>
    <hyperlink ref="G119" r:id="rId76" xr:uid="{BDC88F7A-B483-4F9A-85C8-923DBD6FEACC}"/>
    <hyperlink ref="G120" r:id="rId77" xr:uid="{941B0C4D-E118-45B0-A4E6-8EDF720A7AC2}"/>
    <hyperlink ref="G122" r:id="rId78" xr:uid="{D8C42A40-4B6E-42D9-ACE5-7CEF3932F4C7}"/>
    <hyperlink ref="G123" r:id="rId79" xr:uid="{3B1C9EB0-910A-4A04-9844-2FCEDAC5B46A}"/>
    <hyperlink ref="G124" r:id="rId80" xr:uid="{8D7235CA-F001-49B7-9339-352197D5AFC6}"/>
    <hyperlink ref="G125" r:id="rId81" xr:uid="{CDC4A38B-56AD-4480-92E2-2E6CC14B3405}"/>
    <hyperlink ref="G126" r:id="rId82" xr:uid="{17BA0494-BFA6-467A-BBB7-818F970CDDE3}"/>
    <hyperlink ref="G127" r:id="rId83" xr:uid="{8D2A57F6-D34C-49D9-99C3-D69FB3D5AAA2}"/>
    <hyperlink ref="G128" r:id="rId84" xr:uid="{F6ECB86E-DA8C-4F34-9581-3DD8F1D4795D}"/>
    <hyperlink ref="G129" r:id="rId85" xr:uid="{CD62AAF2-B879-4B53-B700-468C196C1CCF}"/>
    <hyperlink ref="G130" r:id="rId86" xr:uid="{6B0D3DA1-D342-43C0-9BFD-E66925974B27}"/>
    <hyperlink ref="G131" r:id="rId87" xr:uid="{3A37A375-D354-4B17-98CC-FE8B7AE85E7B}"/>
    <hyperlink ref="G132" r:id="rId88" xr:uid="{8B0A82E2-FC16-4956-8532-57CF9CE06C9F}"/>
    <hyperlink ref="G133" r:id="rId89" xr:uid="{2F6D9820-3D28-4AF0-A036-A60A6D5C1543}"/>
    <hyperlink ref="G134" r:id="rId90" xr:uid="{5A9EC3BA-2BEB-4876-8B88-C1F0B57DE391}"/>
    <hyperlink ref="G135" r:id="rId91" xr:uid="{1D9379DF-25DC-4BCF-8C0D-D633F26E20B8}"/>
    <hyperlink ref="G136" r:id="rId92" xr:uid="{63D96752-458A-46A9-8A6B-9860AA2F0A36}"/>
    <hyperlink ref="G137" r:id="rId93" xr:uid="{C072B4CE-F4DE-41BF-A6CE-1182F2DCB980}"/>
    <hyperlink ref="G138" r:id="rId94" xr:uid="{D70429B9-61F8-41AD-A379-BFD8826625BE}"/>
    <hyperlink ref="G139" r:id="rId95" xr:uid="{95CC2310-4598-49C3-8DD9-C11B93B502C7}"/>
    <hyperlink ref="G140" r:id="rId96" xr:uid="{9003E7B1-7D34-4082-AD3C-4CAE1EBDF054}"/>
    <hyperlink ref="G141" r:id="rId97" xr:uid="{C125670E-B0E6-4BAD-8FC7-8CEC8621DD23}"/>
    <hyperlink ref="G142" r:id="rId98" xr:uid="{A92D1394-5513-44F7-AF16-8175E51866F8}"/>
    <hyperlink ref="G143" r:id="rId99" xr:uid="{B078A5D1-79F3-4B3B-AE19-B589BDEA292E}"/>
    <hyperlink ref="G144" r:id="rId100" xr:uid="{F7E3640D-705B-44E3-BD85-9716B69818A7}"/>
    <hyperlink ref="G145" r:id="rId101" xr:uid="{F4AE0B82-CCC8-4C78-8742-7B69046FF704}"/>
    <hyperlink ref="G146" r:id="rId102" xr:uid="{A2D9455A-ADA4-486D-ABD3-F3C365C7A02A}"/>
    <hyperlink ref="G147" r:id="rId103" xr:uid="{1085E242-ADEE-4482-B61B-DF2021ABBE55}"/>
    <hyperlink ref="G148" r:id="rId104" xr:uid="{05B88898-B983-4E60-A84F-AB7A1F7A6656}"/>
    <hyperlink ref="G149" r:id="rId105" xr:uid="{2F8C534E-E80D-4DB8-9651-3C50C7B27DCE}"/>
    <hyperlink ref="G150" r:id="rId106" xr:uid="{2C2C70C8-9B66-4E1E-8702-59304657BB41}"/>
    <hyperlink ref="G151" r:id="rId107" xr:uid="{63CB6AAD-6A14-4862-A1AF-FDADBC4C4051}"/>
    <hyperlink ref="G152" r:id="rId108" xr:uid="{98644129-6490-40CC-9F60-04923A0C5E89}"/>
    <hyperlink ref="G153" r:id="rId109" xr:uid="{94E6D96D-73CC-4509-ABD5-FC136AE76510}"/>
    <hyperlink ref="G154" r:id="rId110" xr:uid="{610357A4-52AE-4563-88C4-77E8F317312F}"/>
    <hyperlink ref="G155" r:id="rId111" xr:uid="{DFD56208-F605-4CF9-8124-EC824E94BA52}"/>
    <hyperlink ref="G156" r:id="rId112" xr:uid="{D64469CF-1432-4E79-9A9D-4EC599F334F0}"/>
    <hyperlink ref="G157" r:id="rId113" xr:uid="{E0CD3522-2110-49BB-B289-2DFB3227DF46}"/>
    <hyperlink ref="G158" r:id="rId114" xr:uid="{C17CE7C7-166B-4D26-989D-757A7D36A5AE}"/>
    <hyperlink ref="G159" r:id="rId115" xr:uid="{BA3EDF06-59F7-4C0F-99F6-66E10DE56E30}"/>
    <hyperlink ref="G160" r:id="rId116" xr:uid="{D565FFC3-75A9-4C8E-9D94-A756A356D0C0}"/>
    <hyperlink ref="G161" r:id="rId117" xr:uid="{F44FD023-2619-4B32-B0DA-BD2FD7D3DE6A}"/>
    <hyperlink ref="G162" r:id="rId118" xr:uid="{6D483CAC-E26F-489B-98EA-61C9E4D52670}"/>
    <hyperlink ref="G163" r:id="rId119" xr:uid="{114A4C0C-4DAD-46D4-ACD1-FE5870B4893F}"/>
    <hyperlink ref="G164" r:id="rId120" xr:uid="{128601E7-6FDC-4D4F-A2AC-A80B2FD34F06}"/>
    <hyperlink ref="G165" r:id="rId121" xr:uid="{47274620-970C-4818-822F-46B7E04B1DBB}"/>
    <hyperlink ref="G166" r:id="rId122" xr:uid="{CA86ECD6-75B5-4B4B-82BA-1C442672E228}"/>
    <hyperlink ref="G167" r:id="rId123" xr:uid="{83704C44-DD45-4C9B-9A19-73A9CD538711}"/>
    <hyperlink ref="G168" r:id="rId124" xr:uid="{36331DF5-6116-4222-95BE-DD93D00648B5}"/>
    <hyperlink ref="G169" r:id="rId125" xr:uid="{AFFB0B69-3627-4B38-BEE0-4AC52459A0B1}"/>
    <hyperlink ref="G170" r:id="rId126" xr:uid="{7E6F451F-627C-4A33-B89F-4152300F62E3}"/>
    <hyperlink ref="G171" r:id="rId127" display="http://dx.doi.org/10.5194/nhess-21-2867-2021" xr:uid="{F20C25B9-556E-4B55-94F4-E569F3DBF527}"/>
    <hyperlink ref="G172" r:id="rId128" display="http://dx.doi.org/10.1097/JOM.0000000000002286" xr:uid="{9C9FEF77-B719-4C39-806F-3F5AC0069F12}"/>
    <hyperlink ref="G173" r:id="rId129" display="http://dx.doi.org/10.1088/1748-9326/ac02ee" xr:uid="{261F1432-E740-48EF-97F3-FB10FA1E4AFC}"/>
    <hyperlink ref="G174" r:id="rId130" display="http://dx.doi.org/10.1038/s41370-021-00366-w" xr:uid="{8190AF83-E0A9-4D38-8881-D7B8B7EA9D88}"/>
    <hyperlink ref="G175" r:id="rId131" display="http://dx.doi.org/10.1029/2021GH000457" xr:uid="{938FFAC5-559F-416B-A4F2-C9906BEDDBF5}"/>
    <hyperlink ref="G176" r:id="rId132" display="http://dx.doi.org/10.1029/2021GH000454" xr:uid="{41422A39-18C9-4CEA-ACB9-10DA930CC6FF}"/>
    <hyperlink ref="G177" r:id="rId133" display="http://dx.doi.org/10.3390/ijerph18126223" xr:uid="{BCBDCD84-B701-4738-B1DE-66DDDAFC874A}"/>
    <hyperlink ref="G178" r:id="rId134" display="http://dx.doi.org/10.1016/j.envint.2020.106214" xr:uid="{77E45F56-F0B3-4771-B3B4-EBDCD813FE15}"/>
    <hyperlink ref="G179" r:id="rId135" display="http://dx.doi.org/10.1016/j.envpol.2021.116498" xr:uid="{FB5DC097-CC26-426C-B625-2EC677553C1A}"/>
    <hyperlink ref="G180" r:id="rId136" display="http://dx.doi.org/10.3390/ijerph18031131" xr:uid="{9950621E-E9FA-4B67-83F1-01EEB170E4E0}"/>
    <hyperlink ref="G181" r:id="rId137" display="http://dx.doi.org/10.1016/j.envres.2020.110402" xr:uid="{9EE81AAF-9AFD-4CB6-B1DF-477A5A7951D9}"/>
    <hyperlink ref="G182" r:id="rId138" display="http://dx.doi.org/10.1021/acs.chemrestox.1c00020" xr:uid="{1DFD7E59-23D4-4121-AF82-F30EE80276DD}"/>
    <hyperlink ref="G183" r:id="rId139" display="http://dx.doi.org/10.1016/j.atmosenv.2021.118210" xr:uid="{4034EEA9-DD4C-4ECC-AF00-8A6904FE1ED1}"/>
    <hyperlink ref="G184" r:id="rId140" display="http://dx.doi.org/10.1016/j.jbc.2021.101147" xr:uid="{1FA6953E-22D7-4B58-95F2-9615952E339D}"/>
    <hyperlink ref="G44" r:id="rId141" xr:uid="{C3EE3927-A0C1-4FD1-A75D-786458DB6A39}"/>
    <hyperlink ref="G45" r:id="rId142" xr:uid="{B4CE0814-56BB-45A0-8762-01548C729A61}"/>
    <hyperlink ref="G46" r:id="rId143" xr:uid="{DAB901AC-BAB8-4B42-8ABC-59573838AF9E}"/>
    <hyperlink ref="G48" r:id="rId144" xr:uid="{AD7DD17B-86CA-4CD8-9384-76E38F162FAA}"/>
    <hyperlink ref="G70" r:id="rId145" xr:uid="{A3894281-2A72-4447-B2D2-1CC379E6024D}"/>
    <hyperlink ref="G66" r:id="rId146" xr:uid="{D7D19FC3-2C1B-4BE0-877B-894F305A9BAF}"/>
    <hyperlink ref="G67" r:id="rId147" xr:uid="{6591DB84-563C-4BA8-9610-9A32B7C762C9}"/>
    <hyperlink ref="G68" r:id="rId148" xr:uid="{503EFC4A-60F3-4D70-9CBB-2EB3294534B7}"/>
    <hyperlink ref="G65" r:id="rId149" xr:uid="{5938E226-6321-4792-BCCD-0F25200655B1}"/>
    <hyperlink ref="G64" r:id="rId150" xr:uid="{A0730BF2-9E9A-4A7D-A8D2-7C42C22F541A}"/>
    <hyperlink ref="G62" r:id="rId151" xr:uid="{1EAA7690-1F68-4134-A334-EEE0D1493B46}"/>
    <hyperlink ref="G63" r:id="rId152" xr:uid="{A8D03DF5-3A2D-44DB-8D5F-3815281A69AA}"/>
    <hyperlink ref="G58" r:id="rId153" xr:uid="{5686F2DA-44BD-453A-94F8-242D80DD166D}"/>
    <hyperlink ref="G59" r:id="rId154" xr:uid="{EF77001B-00FF-47C5-A9C1-ABB1A3445E7D}"/>
    <hyperlink ref="G60" r:id="rId155" xr:uid="{7D163549-2C92-4EFA-9718-887007819E39}"/>
    <hyperlink ref="G61" r:id="rId156" xr:uid="{5C40C9B5-07C0-4D27-854A-2B2FA3F71478}"/>
    <hyperlink ref="G57" r:id="rId157" xr:uid="{58593F9D-72C2-41C0-81A2-3241BD58F45A}"/>
    <hyperlink ref="G56" r:id="rId158" xr:uid="{684D6B66-B904-474B-B6DF-4863C135727A}"/>
    <hyperlink ref="G55" r:id="rId159" xr:uid="{A741979C-6B95-41BF-946A-8DEC84138A37}"/>
    <hyperlink ref="G49" r:id="rId160" xr:uid="{54F1C0BB-A6C3-468C-B5FE-9D3D96BFBC4D}"/>
    <hyperlink ref="G50" r:id="rId161" xr:uid="{00E2E11C-C4B4-4062-A3D0-F15657EA97C0}"/>
    <hyperlink ref="G51" r:id="rId162" xr:uid="{9095F3B6-6E96-4DBD-AB39-578927921B8A}"/>
    <hyperlink ref="G52" r:id="rId163" xr:uid="{1A0CB9A5-D1BF-4AD8-8D53-AC036BE62896}"/>
    <hyperlink ref="G54" r:id="rId164" xr:uid="{EDB2D312-3166-4AE8-947B-F97819870A1F}"/>
    <hyperlink ref="G53" r:id="rId165" xr:uid="{F07C70B3-53FD-4E3E-A34A-AECE5B61CB73}"/>
    <hyperlink ref="G5" r:id="rId166" display="http://dx.doi.org/10.1161/JAHA.124.036264" xr:uid="{28238899-FD59-4980-9A3A-53D43B12525C}"/>
    <hyperlink ref="G92" r:id="rId167" xr:uid="{F59583D3-B912-4B35-871A-37FBD17385C6}"/>
    <hyperlink ref="G94" r:id="rId168" xr:uid="{C94FAFD8-9F62-46C0-B668-E4E180D519AF}"/>
    <hyperlink ref="G95" r:id="rId169" xr:uid="{5050C671-A496-42A0-A078-57C46BB847D5}"/>
    <hyperlink ref="G114" r:id="rId170" xr:uid="{9B64A24A-8007-46A3-B2F4-B1C9FB895D81}"/>
    <hyperlink ref="G121" r:id="rId171" xr:uid="{F3158EA6-31AE-43A3-9C27-95FE80FDEA3B}"/>
    <hyperlink ref="G11" r:id="rId172" display="http://dx.doi.org/10.1016/j.envres.2024.120395" xr:uid="{E3260FBF-F165-457A-BD33-D96502982E32}"/>
    <hyperlink ref="G20" r:id="rId173" display="http://dx.doi.org/10.1002/em.70002" xr:uid="{EC4CE359-C1D5-478C-9F60-FDD71AD37BDF}"/>
    <hyperlink ref="G47" r:id="rId174" xr:uid="{B43A014A-C2D0-4193-BC66-4C710299C2AA}"/>
    <hyperlink ref="G69" r:id="rId175" xr:uid="{F0FE89C2-97ED-412E-917D-223E389E589B}"/>
    <hyperlink ref="G74" r:id="rId176" xr:uid="{B932FB3A-45E6-4CE9-9CC4-94FE22638EEE}"/>
    <hyperlink ref="G75" r:id="rId177" xr:uid="{9C0CEE4C-295A-49BE-8B8F-C2F6025AD20F}"/>
    <hyperlink ref="G77" r:id="rId178" xr:uid="{14F45C1C-78AD-4B68-9ABD-9F3FC7E2DD72}"/>
    <hyperlink ref="G88" r:id="rId179" xr:uid="{6F054F8A-7CAB-4222-BF4E-FCEBDB7FD76E}"/>
    <hyperlink ref="G103" r:id="rId180" xr:uid="{AC2D30B6-CD38-4458-AA83-B65EDCF7C1B4}"/>
    <hyperlink ref="G107" r:id="rId181" xr:uid="{74845063-96F4-4A77-B9E6-4F7C86FF98D8}"/>
    <hyperlink ref="G112" r:id="rId182" xr:uid="{10CA5DA8-8F41-497F-B4A9-7E8214B85ABB}"/>
  </hyperlinks>
  <pageMargins left="0.7" right="0.7" top="0.75" bottom="0.75" header="0.3" footer="0.3"/>
  <drawing r:id="rId183"/>
</worksheet>
</file>

<file path=docMetadata/LabelInfo.xml><?xml version="1.0" encoding="utf-8"?>
<clbl:labelList xmlns:clbl="http://schemas.microsoft.com/office/2020/mipLabelMetadata">
  <clbl:label id="{523b4bfc-0ebd-4c03-b2b9-6f6a17fd31d8}" enabled="0" method="" siteId="{523b4bfc-0ebd-4c03-b2b9-6f6a17fd31d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green 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Reviewer</cp:lastModifiedBy>
  <cp:revision/>
  <dcterms:created xsi:type="dcterms:W3CDTF">2025-04-10T16:25:33Z</dcterms:created>
  <dcterms:modified xsi:type="dcterms:W3CDTF">2026-03-13T21:12:42Z</dcterms:modified>
  <cp:category/>
  <cp:contentStatus/>
</cp:coreProperties>
</file>